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il_Kullanilir" sheetId="1" state="visible" r:id="rId3"/>
    <sheet name="Markout" sheetId="2" state="visible" r:id="rId4"/>
    <sheet name="SKT" sheetId="3" state="visible" r:id="rId5"/>
    <sheet name="Ayarlar" sheetId="4" state="visible" r:id="rId6"/>
    <sheet name="Satis_Ortalama" sheetId="5" state="visible" r:id="rId7"/>
    <sheet name="Bos_Form" sheetId="6" state="visible" r:id="rId8"/>
    <sheet name="Arsiv" sheetId="7" state="visible" r:id="rId9"/>
  </sheets>
  <definedNames>
    <definedName function="false" hidden="false" localSheetId="1" name="_xlnm.Print_Titles" vbProcedure="false">Markout!$1:$3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<sst xmlns="http://schemas.openxmlformats.org/spreadsheetml/2006/main" count="222" uniqueCount="124">
  <si>
    <t xml:space="preserve">Mağaza Gün Sonu (Mark-Out) ve Çözündürme Formu</t>
  </si>
  <si>
    <t xml:space="preserve">Tüm ürün, SKU ve satış verileri SAHTEDİR. Yapı, bir kahve zincirinde kullanılan orijinal formun yeniden kurulmuş hâlidir.</t>
  </si>
  <si>
    <t xml:space="preserve">Önce bir kez: makroları ekleme</t>
  </si>
  <si>
    <t xml:space="preserve">1. Bu dosyayı açın, Alt+F11 ile VBA düzenleyicisini açın.</t>
  </si>
  <si>
    <t xml:space="preserve">2. File &gt; Import File… ile depodaki markout.bas dosyasını içe aktarın.</t>
  </si>
  <si>
    <t xml:space="preserve">3. Dosyayı 'Excel Makro İçerebilen Çalışma Kitabı (*.xlsm)' olarak kaydedin. Kısayolları atamak için KisayollariAta makrosunu bir kez çalıştırın.</t>
  </si>
  <si>
    <t xml:space="preserve">Her gün</t>
  </si>
  <si>
    <t xml:space="preserve">1. Gün içinde: Markout sayfasında sarı hücreler doldurulur (gelen, çözündürülen, tadım, atık, ürün bitiş saati).</t>
  </si>
  <si>
    <t xml:space="preserve">2. Ctrl+Shift+S → POS/ERP'den alınan günlük satış raporu seçilir; satış sütunu SKU'ya göre otomatik dolar.</t>
  </si>
  <si>
    <t xml:space="preserve">3. Kapanış sayımı: donuk ve günlük 'Sayılan Kapanış' sütunları girilir. Fark sütunları kendiliğinden hesaplanır.</t>
  </si>
  <si>
    <t xml:space="preserve">4. Ctrl+Shift+P → gün sonu formu PDF olarak kaydedilir (isteğe bağlı).</t>
  </si>
  <si>
    <t xml:space="preserve">5. Ctrl+Shift+K → gün kapatılır: satırlar Arsiv sayfasına yazılır, sayılan kapanışlar yarının stoğu olur, günlük girişler temizlenir, tarih bir gün ilerler.</t>
  </si>
  <si>
    <t xml:space="preserve">Hesaplar</t>
  </si>
  <si>
    <t xml:space="preserve">Donuk beklenen kapanış = devreden donuk + gelen − çözündürülen</t>
  </si>
  <si>
    <t xml:space="preserve">Günlük beklenen kapanış = devreden yiyecek + dondan çözülen − satış − tadım − atık</t>
  </si>
  <si>
    <t xml:space="preserve">Fark = sayılan kapanış − beklenen kapanış (eksi değer = kayıp)</t>
  </si>
  <si>
    <t xml:space="preserve">Dondan çözülen = bir önceki gün çözündürmeye alınan miktar (çözündürme gece boyunca sürer).</t>
  </si>
  <si>
    <t xml:space="preserve">Ortalama günlük satış = Satis_Ortalama sayfasındaki haftalık veya aylık rapordan (Ayarlar'dan seçilir). Çözündürme kararı yöneticinindir; bu sütun yalnızca yardımcıdır.</t>
  </si>
  <si>
    <t xml:space="preserve">Renk kodu</t>
  </si>
  <si>
    <t xml:space="preserve">Mavi = elle girilen sabit değer · Sarı zemin = her gün doldurulan hücre · Siyah = formül · Yeşil = başka sayfadan gelen değer</t>
  </si>
  <si>
    <t xml:space="preserve">MAĞAZA:</t>
  </si>
  <si>
    <t xml:space="preserve">TARİH:</t>
  </si>
  <si>
    <t xml:space="preserve">DONUK</t>
  </si>
  <si>
    <t xml:space="preserve">GÜNLÜK</t>
  </si>
  <si>
    <t xml:space="preserve">Kategori</t>
  </si>
  <si>
    <t xml:space="preserve">SKU</t>
  </si>
  <si>
    <t xml:space="preserve">Ürün</t>
  </si>
  <si>
    <t xml:space="preserve">Raf Ömrü (gün)</t>
  </si>
  <si>
    <t xml:space="preserve">Donuk Ömrü</t>
  </si>
  <si>
    <t xml:space="preserve">Devreden Donuk</t>
  </si>
  <si>
    <t xml:space="preserve">Gelen</t>
  </si>
  <si>
    <t xml:space="preserve">Çözündürülen</t>
  </si>
  <si>
    <t xml:space="preserve">Beklenen Kapanış</t>
  </si>
  <si>
    <t xml:space="preserve">Sayılan Kapanış</t>
  </si>
  <si>
    <t xml:space="preserve">Fark</t>
  </si>
  <si>
    <t xml:space="preserve">Ort. Günlük Satış</t>
  </si>
  <si>
    <t xml:space="preserve">Devreden Yiyecek</t>
  </si>
  <si>
    <t xml:space="preserve">Dondan Çözülen</t>
  </si>
  <si>
    <t xml:space="preserve">Satış</t>
  </si>
  <si>
    <t xml:space="preserve">Tadım</t>
  </si>
  <si>
    <t xml:space="preserve">Atık</t>
  </si>
  <si>
    <t xml:space="preserve">Ürün Bitiş Saati</t>
  </si>
  <si>
    <t xml:space="preserve">KAHVALTILIK</t>
  </si>
  <si>
    <t xml:space="preserve">100101</t>
  </si>
  <si>
    <t xml:space="preserve">Peynirli simit</t>
  </si>
  <si>
    <t xml:space="preserve">6 ay</t>
  </si>
  <si>
    <t xml:space="preserve">100102</t>
  </si>
  <si>
    <t xml:space="preserve">Peynirli poğaça</t>
  </si>
  <si>
    <t xml:space="preserve">100103</t>
  </si>
  <si>
    <t xml:space="preserve">Zeytinli açma</t>
  </si>
  <si>
    <t xml:space="preserve">100104</t>
  </si>
  <si>
    <t xml:space="preserve">Sade kruvasan</t>
  </si>
  <si>
    <t xml:space="preserve">100105</t>
  </si>
  <si>
    <t xml:space="preserve">Çikolatalı kruvasan</t>
  </si>
  <si>
    <t xml:space="preserve">MUFFIN VE KURABİYE</t>
  </si>
  <si>
    <t xml:space="preserve">100201</t>
  </si>
  <si>
    <t xml:space="preserve">Yaban mersinli muffin</t>
  </si>
  <si>
    <t xml:space="preserve">100202</t>
  </si>
  <si>
    <t xml:space="preserve">Çikolatalı muffin</t>
  </si>
  <si>
    <t xml:space="preserve">100203</t>
  </si>
  <si>
    <t xml:space="preserve">Çikolatalı kurabiye</t>
  </si>
  <si>
    <t xml:space="preserve">100204</t>
  </si>
  <si>
    <t xml:space="preserve">Yulaflı kurabiye</t>
  </si>
  <si>
    <t xml:space="preserve">SANDVİÇ</t>
  </si>
  <si>
    <t xml:space="preserve">100301</t>
  </si>
  <si>
    <t xml:space="preserve">Kaşarlı tost</t>
  </si>
  <si>
    <t xml:space="preserve">100302</t>
  </si>
  <si>
    <t xml:space="preserve">Hindi füme sandviç</t>
  </si>
  <si>
    <t xml:space="preserve">100303</t>
  </si>
  <si>
    <t xml:space="preserve">Mozzarellalı sandviç</t>
  </si>
  <si>
    <t xml:space="preserve">KEK VE PASTA</t>
  </si>
  <si>
    <t xml:space="preserve">100401</t>
  </si>
  <si>
    <t xml:space="preserve">Havuçlu kek</t>
  </si>
  <si>
    <t xml:space="preserve">100402</t>
  </si>
  <si>
    <t xml:space="preserve">Brownie</t>
  </si>
  <si>
    <t xml:space="preserve">100403</t>
  </si>
  <si>
    <t xml:space="preserve">Limonlu kek</t>
  </si>
  <si>
    <t xml:space="preserve">CHEESECAKE</t>
  </si>
  <si>
    <t xml:space="preserve">100501</t>
  </si>
  <si>
    <t xml:space="preserve">Frambuazlı cheesecake</t>
  </si>
  <si>
    <t xml:space="preserve">100502</t>
  </si>
  <si>
    <t xml:space="preserve">Limonlu cheesecake</t>
  </si>
  <si>
    <t xml:space="preserve">Satış (O) sütunu Ctrl+Shift+S ile dolar. Sayılan kapanış sütunları (J, S) kapanış sayımında girilir. Fark: eksi = kayıp.</t>
  </si>
  <si>
    <t xml:space="preserve">SON KULLANMA TARİHLERİ — </t>
  </si>
  <si>
    <t xml:space="preserve">Mark-out saati:</t>
  </si>
  <si>
    <t xml:space="preserve">BUGÜN ÇÖZÜNDÜRMEYE ALINANLAR</t>
  </si>
  <si>
    <t xml:space="preserve">DEVİR ÜRÜNLER (dün çözündürülen, bugün satışta)</t>
  </si>
  <si>
    <t xml:space="preserve">Adet</t>
  </si>
  <si>
    <t xml:space="preserve">Çözündürme Başlangıç</t>
  </si>
  <si>
    <t xml:space="preserve">Saat</t>
  </si>
  <si>
    <t xml:space="preserve">Çözündürme Bitiş</t>
  </si>
  <si>
    <t xml:space="preserve">SKT</t>
  </si>
  <si>
    <t xml:space="preserve">SKT = çözündürme bitiş tarihi + raf ömrü − 1. Ürün SKT günü mark-out saatinde satıştan kaldırılır.</t>
  </si>
  <si>
    <t xml:space="preserve">Ayarlar</t>
  </si>
  <si>
    <t xml:space="preserve">Mağaza adı</t>
  </si>
  <si>
    <t xml:space="preserve">Örnek Mağaza</t>
  </si>
  <si>
    <t xml:space="preserve">Ortalama satış dayanağı</t>
  </si>
  <si>
    <t xml:space="preserve">Haftalık</t>
  </si>
  <si>
    <t xml:space="preserve">Haftalık: bayram gibi kısa dönemler · Aylık: genel planlama</t>
  </si>
  <si>
    <t xml:space="preserve">Çözündürme başlangıç saati</t>
  </si>
  <si>
    <t xml:space="preserve">Çözündürme bitiş saati</t>
  </si>
  <si>
    <t xml:space="preserve">Ertesi gün</t>
  </si>
  <si>
    <t xml:space="preserve">Mark-out saati</t>
  </si>
  <si>
    <t xml:space="preserve">Satış raporunda SKU sütunu</t>
  </si>
  <si>
    <t xml:space="preserve">B = 2</t>
  </si>
  <si>
    <t xml:space="preserve">Satış raporunda adet sütunu</t>
  </si>
  <si>
    <t xml:space="preserve">F = 6</t>
  </si>
  <si>
    <t xml:space="preserve">Satış raporunda ilk veri satırı</t>
  </si>
  <si>
    <t xml:space="preserve">Başlık satırı 1 ise 2</t>
  </si>
  <si>
    <t xml:space="preserve">Son 7 Gün Satış</t>
  </si>
  <si>
    <t xml:space="preserve">Son 30 Gün Satış</t>
  </si>
  <si>
    <t xml:space="preserve">Ortalama Günlük Satış</t>
  </si>
  <si>
    <t xml:space="preserve">Haftalık ve aylık satış raporları bu sayfaya SKU'ya göre yapıştırılır.</t>
  </si>
  <si>
    <t xml:space="preserve">TARİH: ____/____/______</t>
  </si>
  <si>
    <t xml:space="preserve">Kapanış (Donuk)</t>
  </si>
  <si>
    <t xml:space="preserve">Kapanış (Günlük)</t>
  </si>
  <si>
    <t xml:space="preserve">Bitiş Saati</t>
  </si>
  <si>
    <t xml:space="preserve">Tarih</t>
  </si>
  <si>
    <t xml:space="preserve">Donuk Beklenen</t>
  </si>
  <si>
    <t xml:space="preserve">Donuk Sayılan</t>
  </si>
  <si>
    <t xml:space="preserve">Donuk Fark</t>
  </si>
  <si>
    <t xml:space="preserve">Günlük Beklenen</t>
  </si>
  <si>
    <t xml:space="preserve">Günlük Sayılan</t>
  </si>
  <si>
    <t xml:space="preserve">Günlük Fark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</si>
</sst>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0.0"/>
    <numFmt numFmtId="168" formatCode="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DDE7E2"/>
      </patternFill>
    </fill>
    <fill>
      <patternFill patternType="solid">
        <fgColor rgb="FFFDE9D9"/>
        <bgColor rgb="FFEFEFEF"/>
      </patternFill>
    </fill>
    <fill>
      <patternFill patternType="solid">
        <fgColor rgb="FFDDE7E2"/>
        <bgColor rgb="FFDCE6F1"/>
      </patternFill>
    </fill>
    <fill>
      <patternFill patternType="solid">
        <fgColor rgb="FFEFEFEF"/>
        <bgColor rgb="FFFDE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4" min="12" style="0" width="10"/>
    <col collapsed="false" customWidth="true" hidden="false" outlineLevel="0" max="15" min="15" style="0" width="8"/>
    <col collapsed="false" customWidth="true" hidden="false" outlineLevel="0" max="17" min="16" style="0" width="7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1" min="21" style="0" width="10"/>
  </cols>
  <sheetData>
    <row r="1" customFormat="false" ht="15" hidden="false" customHeight="false" outlineLevel="0" collapsed="false">
      <c r="A1" s="4" t="s">
        <v>20</v>
      </c>
      <c r="B1" s="5" t="str">
        <f aca="false">Ayarlar!B3</f>
        <v>Örnek Mağaza</v>
      </c>
      <c r="C1" s="6"/>
      <c r="D1" s="6"/>
      <c r="E1" s="4" t="s">
        <v>21</v>
      </c>
      <c r="F1" s="7" t="n">
        <v>46279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6"/>
      <c r="B2" s="6"/>
      <c r="C2" s="6"/>
      <c r="D2" s="6"/>
      <c r="E2" s="6"/>
      <c r="F2" s="8" t="s">
        <v>22</v>
      </c>
      <c r="G2" s="8"/>
      <c r="H2" s="8"/>
      <c r="I2" s="8"/>
      <c r="J2" s="8"/>
      <c r="K2" s="8"/>
      <c r="L2" s="9" t="s">
        <v>23</v>
      </c>
      <c r="M2" s="9"/>
      <c r="N2" s="9"/>
      <c r="O2" s="9"/>
      <c r="P2" s="9"/>
      <c r="Q2" s="9"/>
      <c r="R2" s="9"/>
      <c r="S2" s="9"/>
      <c r="T2" s="9"/>
      <c r="U2" s="6"/>
    </row>
    <row r="3" customFormat="false" ht="31.5" hidden="false" customHeight="true" outlineLevel="0" collapsed="false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2" t="s">
        <v>35</v>
      </c>
      <c r="M3" s="12" t="s">
        <v>36</v>
      </c>
      <c r="N3" s="12" t="s">
        <v>37</v>
      </c>
      <c r="O3" s="12" t="s">
        <v>38</v>
      </c>
      <c r="P3" s="12" t="s">
        <v>39</v>
      </c>
      <c r="Q3" s="12" t="s">
        <v>40</v>
      </c>
      <c r="R3" s="12" t="s">
        <v>32</v>
      </c>
      <c r="S3" s="12" t="s">
        <v>33</v>
      </c>
      <c r="T3" s="12" t="s">
        <v>34</v>
      </c>
      <c r="U3" s="10" t="s">
        <v>41</v>
      </c>
    </row>
    <row r="4" customFormat="false" ht="15" hidden="false" customHeight="false" outlineLevel="0" collapsed="false">
      <c r="A4" s="13" t="s">
        <v>42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customFormat="false" ht="15" hidden="false" customHeight="false" outlineLevel="0" collapsed="false">
      <c r="A5" s="15" t="s">
        <v>42</v>
      </c>
      <c r="B5" s="16" t="s">
        <v>43</v>
      </c>
      <c r="C5" s="16" t="s">
        <v>44</v>
      </c>
      <c r="D5" s="16" t="n">
        <v>1</v>
      </c>
      <c r="E5" s="16" t="s">
        <v>45</v>
      </c>
      <c r="F5" s="16" t="n">
        <v>29</v>
      </c>
      <c r="G5" s="17" t="n">
        <v>0</v>
      </c>
      <c r="H5" s="17" t="n">
        <v>10</v>
      </c>
      <c r="I5" s="18" t="n">
        <f aca="false">F5+G5-H5</f>
        <v>19</v>
      </c>
      <c r="J5" s="19"/>
      <c r="K5" s="18" t="str">
        <f aca="false">IF(J5="","",J5-I5)</f>
        <v/>
      </c>
      <c r="L5" s="20" t="n">
        <f aca="false">IFERROR(INDEX(Satis_Ortalama!$E$2:$E$18,MATCH($B5,Satis_Ortalama!$A$2:$A$18,0)),0)</f>
        <v>5.42857142857143</v>
      </c>
      <c r="M5" s="16" t="n">
        <v>0</v>
      </c>
      <c r="N5" s="16" t="n">
        <v>8</v>
      </c>
      <c r="O5" s="18"/>
      <c r="P5" s="17" t="n">
        <v>0</v>
      </c>
      <c r="Q5" s="17" t="n">
        <v>0</v>
      </c>
      <c r="R5" s="18" t="n">
        <f aca="false">M5+N5-O5-P5-Q5</f>
        <v>8</v>
      </c>
      <c r="S5" s="19"/>
      <c r="T5" s="18" t="str">
        <f aca="false">IF(S5="","",S5-R5)</f>
        <v/>
      </c>
      <c r="U5" s="21"/>
    </row>
    <row r="6" customFormat="false" ht="15" hidden="false" customHeight="false" outlineLevel="0" collapsed="false">
      <c r="A6" s="15" t="s">
        <v>42</v>
      </c>
      <c r="B6" s="16" t="s">
        <v>46</v>
      </c>
      <c r="C6" s="16" t="s">
        <v>47</v>
      </c>
      <c r="D6" s="16" t="n">
        <v>1</v>
      </c>
      <c r="E6" s="16" t="s">
        <v>45</v>
      </c>
      <c r="F6" s="16" t="n">
        <v>26</v>
      </c>
      <c r="G6" s="17" t="n">
        <v>0</v>
      </c>
      <c r="H6" s="17" t="n">
        <v>7</v>
      </c>
      <c r="I6" s="18" t="n">
        <f aca="false">F6+G6-H6</f>
        <v>19</v>
      </c>
      <c r="J6" s="19"/>
      <c r="K6" s="18" t="str">
        <f aca="false">IF(J6="","",J6-I6)</f>
        <v/>
      </c>
      <c r="L6" s="20" t="n">
        <f aca="false">IFERROR(INDEX(Satis_Ortalama!$E$2:$E$18,MATCH($B6,Satis_Ortalama!$A$2:$A$18,0)),0)</f>
        <v>9.14285714285714</v>
      </c>
      <c r="M6" s="16" t="n">
        <v>0</v>
      </c>
      <c r="N6" s="16" t="n">
        <v>10</v>
      </c>
      <c r="O6" s="18"/>
      <c r="P6" s="17" t="n">
        <v>0</v>
      </c>
      <c r="Q6" s="17" t="n">
        <v>0</v>
      </c>
      <c r="R6" s="18" t="n">
        <f aca="false">M6+N6-O6-P6-Q6</f>
        <v>10</v>
      </c>
      <c r="S6" s="19"/>
      <c r="T6" s="18" t="str">
        <f aca="false">IF(S6="","",S6-R6)</f>
        <v/>
      </c>
      <c r="U6" s="21"/>
    </row>
    <row r="7" customFormat="false" ht="15" hidden="false" customHeight="false" outlineLevel="0" collapsed="false">
      <c r="A7" s="15" t="s">
        <v>42</v>
      </c>
      <c r="B7" s="16" t="s">
        <v>48</v>
      </c>
      <c r="C7" s="16" t="s">
        <v>49</v>
      </c>
      <c r="D7" s="16" t="n">
        <v>1</v>
      </c>
      <c r="E7" s="16" t="s">
        <v>45</v>
      </c>
      <c r="F7" s="16" t="n">
        <v>24</v>
      </c>
      <c r="G7" s="17" t="n">
        <v>12</v>
      </c>
      <c r="H7" s="17" t="n">
        <v>9</v>
      </c>
      <c r="I7" s="18" t="n">
        <f aca="false">F7+G7-H7</f>
        <v>27</v>
      </c>
      <c r="J7" s="19"/>
      <c r="K7" s="18" t="str">
        <f aca="false">IF(J7="","",J7-I7)</f>
        <v/>
      </c>
      <c r="L7" s="20" t="n">
        <f aca="false">IFERROR(INDEX(Satis_Ortalama!$E$2:$E$18,MATCH($B7,Satis_Ortalama!$A$2:$A$18,0)),0)</f>
        <v>5.57142857142857</v>
      </c>
      <c r="M7" s="16" t="n">
        <v>0</v>
      </c>
      <c r="N7" s="16" t="n">
        <v>11</v>
      </c>
      <c r="O7" s="18"/>
      <c r="P7" s="17" t="n">
        <v>0</v>
      </c>
      <c r="Q7" s="17" t="n">
        <v>1</v>
      </c>
      <c r="R7" s="18" t="n">
        <f aca="false">M7+N7-O7-P7-Q7</f>
        <v>10</v>
      </c>
      <c r="S7" s="19"/>
      <c r="T7" s="18" t="str">
        <f aca="false">IF(S7="","",S7-R7)</f>
        <v/>
      </c>
      <c r="U7" s="21"/>
    </row>
    <row r="8" customFormat="false" ht="15" hidden="false" customHeight="false" outlineLevel="0" collapsed="false">
      <c r="A8" s="15" t="s">
        <v>42</v>
      </c>
      <c r="B8" s="16" t="s">
        <v>50</v>
      </c>
      <c r="C8" s="16" t="s">
        <v>51</v>
      </c>
      <c r="D8" s="16" t="n">
        <v>1</v>
      </c>
      <c r="E8" s="16" t="s">
        <v>45</v>
      </c>
      <c r="F8" s="16" t="n">
        <v>20</v>
      </c>
      <c r="G8" s="17" t="n">
        <v>0</v>
      </c>
      <c r="H8" s="17" t="n">
        <v>11</v>
      </c>
      <c r="I8" s="18" t="n">
        <f aca="false">F8+G8-H8</f>
        <v>9</v>
      </c>
      <c r="J8" s="19"/>
      <c r="K8" s="18" t="str">
        <f aca="false">IF(J8="","",J8-I8)</f>
        <v/>
      </c>
      <c r="L8" s="20" t="n">
        <f aca="false">IFERROR(INDEX(Satis_Ortalama!$E$2:$E$18,MATCH($B8,Satis_Ortalama!$A$2:$A$18,0)),0)</f>
        <v>9.14285714285714</v>
      </c>
      <c r="M8" s="16" t="n">
        <v>0</v>
      </c>
      <c r="N8" s="16" t="n">
        <v>7</v>
      </c>
      <c r="O8" s="18"/>
      <c r="P8" s="17" t="n">
        <v>0</v>
      </c>
      <c r="Q8" s="17" t="n">
        <v>0</v>
      </c>
      <c r="R8" s="18" t="n">
        <f aca="false">M8+N8-O8-P8-Q8</f>
        <v>7</v>
      </c>
      <c r="S8" s="19"/>
      <c r="T8" s="18" t="str">
        <f aca="false">IF(S8="","",S8-R8)</f>
        <v/>
      </c>
      <c r="U8" s="21"/>
    </row>
    <row r="9" customFormat="false" ht="15" hidden="false" customHeight="false" outlineLevel="0" collapsed="false">
      <c r="A9" s="15" t="s">
        <v>42</v>
      </c>
      <c r="B9" s="16" t="s">
        <v>52</v>
      </c>
      <c r="C9" s="16" t="s">
        <v>53</v>
      </c>
      <c r="D9" s="16" t="n">
        <v>1</v>
      </c>
      <c r="E9" s="16" t="s">
        <v>45</v>
      </c>
      <c r="F9" s="16" t="n">
        <v>28</v>
      </c>
      <c r="G9" s="17" t="n">
        <v>0</v>
      </c>
      <c r="H9" s="17" t="n">
        <v>9</v>
      </c>
      <c r="I9" s="18" t="n">
        <f aca="false">F9+G9-H9</f>
        <v>19</v>
      </c>
      <c r="J9" s="19"/>
      <c r="K9" s="18" t="str">
        <f aca="false">IF(J9="","",J9-I9)</f>
        <v/>
      </c>
      <c r="L9" s="20" t="n">
        <f aca="false">IFERROR(INDEX(Satis_Ortalama!$E$2:$E$18,MATCH($B9,Satis_Ortalama!$A$2:$A$18,0)),0)</f>
        <v>3</v>
      </c>
      <c r="M9" s="16" t="n">
        <v>0</v>
      </c>
      <c r="N9" s="16" t="n">
        <v>4</v>
      </c>
      <c r="O9" s="18"/>
      <c r="P9" s="17" t="n">
        <v>0</v>
      </c>
      <c r="Q9" s="17" t="n">
        <v>2</v>
      </c>
      <c r="R9" s="18" t="n">
        <f aca="false">M9+N9-O9-P9-Q9</f>
        <v>2</v>
      </c>
      <c r="S9" s="19"/>
      <c r="T9" s="18" t="str">
        <f aca="false">IF(S9="","",S9-R9)</f>
        <v/>
      </c>
      <c r="U9" s="21"/>
    </row>
    <row r="10" customFormat="false" ht="15" hidden="false" customHeight="false" outlineLevel="0" collapsed="false">
      <c r="A10" s="13" t="s">
        <v>54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customFormat="false" ht="15" hidden="false" customHeight="false" outlineLevel="0" collapsed="false">
      <c r="A11" s="15" t="s">
        <v>54</v>
      </c>
      <c r="B11" s="16" t="s">
        <v>55</v>
      </c>
      <c r="C11" s="16" t="s">
        <v>56</v>
      </c>
      <c r="D11" s="16" t="n">
        <v>2</v>
      </c>
      <c r="E11" s="16" t="s">
        <v>45</v>
      </c>
      <c r="F11" s="16" t="n">
        <v>12</v>
      </c>
      <c r="G11" s="17" t="n">
        <v>0</v>
      </c>
      <c r="H11" s="17" t="n">
        <v>3</v>
      </c>
      <c r="I11" s="18" t="n">
        <f aca="false">F11+G11-H11</f>
        <v>9</v>
      </c>
      <c r="J11" s="19"/>
      <c r="K11" s="18" t="str">
        <f aca="false">IF(J11="","",J11-I11)</f>
        <v/>
      </c>
      <c r="L11" s="20" t="n">
        <f aca="false">IFERROR(INDEX(Satis_Ortalama!$E$2:$E$18,MATCH($B11,Satis_Ortalama!$A$2:$A$18,0)),0)</f>
        <v>5.71428571428571</v>
      </c>
      <c r="M11" s="16" t="n">
        <v>1</v>
      </c>
      <c r="N11" s="16" t="n">
        <v>6</v>
      </c>
      <c r="O11" s="18"/>
      <c r="P11" s="17" t="n">
        <v>0</v>
      </c>
      <c r="Q11" s="17" t="n">
        <v>2</v>
      </c>
      <c r="R11" s="18" t="n">
        <f aca="false">M11+N11-O11-P11-Q11</f>
        <v>5</v>
      </c>
      <c r="S11" s="19"/>
      <c r="T11" s="18" t="str">
        <f aca="false">IF(S11="","",S11-R11)</f>
        <v/>
      </c>
      <c r="U11" s="21"/>
    </row>
    <row r="12" customFormat="false" ht="15" hidden="false" customHeight="false" outlineLevel="0" collapsed="false">
      <c r="A12" s="15" t="s">
        <v>54</v>
      </c>
      <c r="B12" s="16" t="s">
        <v>57</v>
      </c>
      <c r="C12" s="16" t="s">
        <v>58</v>
      </c>
      <c r="D12" s="16" t="n">
        <v>2</v>
      </c>
      <c r="E12" s="16" t="s">
        <v>45</v>
      </c>
      <c r="F12" s="16" t="n">
        <v>22</v>
      </c>
      <c r="G12" s="17" t="n">
        <v>24</v>
      </c>
      <c r="H12" s="17" t="n">
        <v>9</v>
      </c>
      <c r="I12" s="18" t="n">
        <f aca="false">F12+G12-H12</f>
        <v>37</v>
      </c>
      <c r="J12" s="19"/>
      <c r="K12" s="18" t="str">
        <f aca="false">IF(J12="","",J12-I12)</f>
        <v/>
      </c>
      <c r="L12" s="20" t="n">
        <f aca="false">IFERROR(INDEX(Satis_Ortalama!$E$2:$E$18,MATCH($B12,Satis_Ortalama!$A$2:$A$18,0)),0)</f>
        <v>8.57142857142857</v>
      </c>
      <c r="M12" s="16" t="n">
        <v>0</v>
      </c>
      <c r="N12" s="16" t="n">
        <v>12</v>
      </c>
      <c r="O12" s="18"/>
      <c r="P12" s="17" t="n">
        <v>1</v>
      </c>
      <c r="Q12" s="17" t="n">
        <v>0</v>
      </c>
      <c r="R12" s="18" t="n">
        <f aca="false">M12+N12-O12-P12-Q12</f>
        <v>11</v>
      </c>
      <c r="S12" s="19"/>
      <c r="T12" s="18" t="str">
        <f aca="false">IF(S12="","",S12-R12)</f>
        <v/>
      </c>
      <c r="U12" s="21"/>
    </row>
    <row r="13" customFormat="false" ht="15" hidden="false" customHeight="false" outlineLevel="0" collapsed="false">
      <c r="A13" s="15" t="s">
        <v>54</v>
      </c>
      <c r="B13" s="16" t="s">
        <v>59</v>
      </c>
      <c r="C13" s="16" t="s">
        <v>60</v>
      </c>
      <c r="D13" s="16" t="n">
        <v>3</v>
      </c>
      <c r="E13" s="16" t="s">
        <v>45</v>
      </c>
      <c r="F13" s="16" t="n">
        <v>34</v>
      </c>
      <c r="G13" s="17" t="n">
        <v>12</v>
      </c>
      <c r="H13" s="17" t="n">
        <v>8</v>
      </c>
      <c r="I13" s="18" t="n">
        <f aca="false">F13+G13-H13</f>
        <v>38</v>
      </c>
      <c r="J13" s="19"/>
      <c r="K13" s="18" t="str">
        <f aca="false">IF(J13="","",J13-I13)</f>
        <v/>
      </c>
      <c r="L13" s="20" t="n">
        <f aca="false">IFERROR(INDEX(Satis_Ortalama!$E$2:$E$18,MATCH($B13,Satis_Ortalama!$A$2:$A$18,0)),0)</f>
        <v>5.42857142857143</v>
      </c>
      <c r="M13" s="16" t="n">
        <v>0</v>
      </c>
      <c r="N13" s="16" t="n">
        <v>7</v>
      </c>
      <c r="O13" s="18"/>
      <c r="P13" s="17" t="n">
        <v>0</v>
      </c>
      <c r="Q13" s="17" t="n">
        <v>0</v>
      </c>
      <c r="R13" s="18" t="n">
        <f aca="false">M13+N13-O13-P13-Q13</f>
        <v>7</v>
      </c>
      <c r="S13" s="19"/>
      <c r="T13" s="18" t="str">
        <f aca="false">IF(S13="","",S13-R13)</f>
        <v/>
      </c>
      <c r="U13" s="21"/>
    </row>
    <row r="14" customFormat="false" ht="15" hidden="false" customHeight="false" outlineLevel="0" collapsed="false">
      <c r="A14" s="15" t="s">
        <v>54</v>
      </c>
      <c r="B14" s="16" t="s">
        <v>61</v>
      </c>
      <c r="C14" s="16" t="s">
        <v>62</v>
      </c>
      <c r="D14" s="16" t="n">
        <v>3</v>
      </c>
      <c r="E14" s="16" t="s">
        <v>45</v>
      </c>
      <c r="F14" s="16" t="n">
        <v>40</v>
      </c>
      <c r="G14" s="17" t="n">
        <v>24</v>
      </c>
      <c r="H14" s="17" t="n">
        <v>4</v>
      </c>
      <c r="I14" s="18" t="n">
        <f aca="false">F14+G14-H14</f>
        <v>60</v>
      </c>
      <c r="J14" s="19"/>
      <c r="K14" s="18" t="str">
        <f aca="false">IF(J14="","",J14-I14)</f>
        <v/>
      </c>
      <c r="L14" s="20" t="n">
        <f aca="false">IFERROR(INDEX(Satis_Ortalama!$E$2:$E$18,MATCH($B14,Satis_Ortalama!$A$2:$A$18,0)),0)</f>
        <v>2.14285714285714</v>
      </c>
      <c r="M14" s="16" t="n">
        <v>1</v>
      </c>
      <c r="N14" s="16" t="n">
        <v>6</v>
      </c>
      <c r="O14" s="18"/>
      <c r="P14" s="17" t="n">
        <v>1</v>
      </c>
      <c r="Q14" s="17" t="n">
        <v>0</v>
      </c>
      <c r="R14" s="18" t="n">
        <f aca="false">M14+N14-O14-P14-Q14</f>
        <v>6</v>
      </c>
      <c r="S14" s="19"/>
      <c r="T14" s="18" t="str">
        <f aca="false">IF(S14="","",S14-R14)</f>
        <v/>
      </c>
      <c r="U14" s="21"/>
    </row>
    <row r="15" customFormat="false" ht="15" hidden="false" customHeight="false" outlineLevel="0" collapsed="false">
      <c r="A15" s="13" t="s">
        <v>63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customFormat="false" ht="15" hidden="false" customHeight="false" outlineLevel="0" collapsed="false">
      <c r="A16" s="15" t="s">
        <v>63</v>
      </c>
      <c r="B16" s="16" t="s">
        <v>64</v>
      </c>
      <c r="C16" s="16" t="s">
        <v>65</v>
      </c>
      <c r="D16" s="16" t="n">
        <v>1</v>
      </c>
      <c r="E16" s="16" t="s">
        <v>45</v>
      </c>
      <c r="F16" s="16" t="n">
        <v>10</v>
      </c>
      <c r="G16" s="17" t="n">
        <v>0</v>
      </c>
      <c r="H16" s="17" t="n">
        <v>10</v>
      </c>
      <c r="I16" s="18" t="n">
        <f aca="false">F16+G16-H16</f>
        <v>0</v>
      </c>
      <c r="J16" s="19"/>
      <c r="K16" s="18" t="str">
        <f aca="false">IF(J16="","",J16-I16)</f>
        <v/>
      </c>
      <c r="L16" s="20" t="n">
        <f aca="false">IFERROR(INDEX(Satis_Ortalama!$E$2:$E$18,MATCH($B16,Satis_Ortalama!$A$2:$A$18,0)),0)</f>
        <v>9.42857142857143</v>
      </c>
      <c r="M16" s="16" t="n">
        <v>0</v>
      </c>
      <c r="N16" s="16" t="n">
        <v>10</v>
      </c>
      <c r="O16" s="18"/>
      <c r="P16" s="17" t="n">
        <v>0</v>
      </c>
      <c r="Q16" s="17" t="n">
        <v>0</v>
      </c>
      <c r="R16" s="18" t="n">
        <f aca="false">M16+N16-O16-P16-Q16</f>
        <v>10</v>
      </c>
      <c r="S16" s="19"/>
      <c r="T16" s="18" t="str">
        <f aca="false">IF(S16="","",S16-R16)</f>
        <v/>
      </c>
      <c r="U16" s="21"/>
    </row>
    <row r="17" customFormat="false" ht="15" hidden="false" customHeight="false" outlineLevel="0" collapsed="false">
      <c r="A17" s="15" t="s">
        <v>63</v>
      </c>
      <c r="B17" s="16" t="s">
        <v>66</v>
      </c>
      <c r="C17" s="16" t="s">
        <v>67</v>
      </c>
      <c r="D17" s="16" t="n">
        <v>1</v>
      </c>
      <c r="E17" s="16" t="s">
        <v>45</v>
      </c>
      <c r="F17" s="16" t="n">
        <v>24</v>
      </c>
      <c r="G17" s="17" t="n">
        <v>0</v>
      </c>
      <c r="H17" s="17" t="n">
        <v>5</v>
      </c>
      <c r="I17" s="18" t="n">
        <f aca="false">F17+G17-H17</f>
        <v>19</v>
      </c>
      <c r="J17" s="19"/>
      <c r="K17" s="18" t="str">
        <f aca="false">IF(J17="","",J17-I17)</f>
        <v/>
      </c>
      <c r="L17" s="20" t="n">
        <f aca="false">IFERROR(INDEX(Satis_Ortalama!$E$2:$E$18,MATCH($B17,Satis_Ortalama!$A$2:$A$18,0)),0)</f>
        <v>1.71428571428571</v>
      </c>
      <c r="M17" s="16" t="n">
        <v>0</v>
      </c>
      <c r="N17" s="16" t="n">
        <v>9</v>
      </c>
      <c r="O17" s="18"/>
      <c r="P17" s="17" t="n">
        <v>1</v>
      </c>
      <c r="Q17" s="17" t="n">
        <v>2</v>
      </c>
      <c r="R17" s="18" t="n">
        <f aca="false">M17+N17-O17-P17-Q17</f>
        <v>6</v>
      </c>
      <c r="S17" s="19"/>
      <c r="T17" s="18" t="str">
        <f aca="false">IF(S17="","",S17-R17)</f>
        <v/>
      </c>
      <c r="U17" s="21"/>
    </row>
    <row r="18" customFormat="false" ht="15" hidden="false" customHeight="false" outlineLevel="0" collapsed="false">
      <c r="A18" s="15" t="s">
        <v>63</v>
      </c>
      <c r="B18" s="16" t="s">
        <v>68</v>
      </c>
      <c r="C18" s="16" t="s">
        <v>69</v>
      </c>
      <c r="D18" s="16" t="n">
        <v>1</v>
      </c>
      <c r="E18" s="16" t="s">
        <v>45</v>
      </c>
      <c r="F18" s="16" t="n">
        <v>13</v>
      </c>
      <c r="G18" s="17" t="n">
        <v>24</v>
      </c>
      <c r="H18" s="17" t="n">
        <v>9</v>
      </c>
      <c r="I18" s="18" t="n">
        <f aca="false">F18+G18-H18</f>
        <v>28</v>
      </c>
      <c r="J18" s="19"/>
      <c r="K18" s="18" t="str">
        <f aca="false">IF(J18="","",J18-I18)</f>
        <v/>
      </c>
      <c r="L18" s="20" t="n">
        <f aca="false">IFERROR(INDEX(Satis_Ortalama!$E$2:$E$18,MATCH($B18,Satis_Ortalama!$A$2:$A$18,0)),0)</f>
        <v>5</v>
      </c>
      <c r="M18" s="16" t="n">
        <v>0</v>
      </c>
      <c r="N18" s="16" t="n">
        <v>6</v>
      </c>
      <c r="O18" s="18"/>
      <c r="P18" s="17" t="n">
        <v>0</v>
      </c>
      <c r="Q18" s="17" t="n">
        <v>1</v>
      </c>
      <c r="R18" s="18" t="n">
        <f aca="false">M18+N18-O18-P18-Q18</f>
        <v>5</v>
      </c>
      <c r="S18" s="19"/>
      <c r="T18" s="18" t="str">
        <f aca="false">IF(S18="","",S18-R18)</f>
        <v/>
      </c>
      <c r="U18" s="21"/>
    </row>
    <row r="19" customFormat="false" ht="15" hidden="false" customHeight="false" outlineLevel="0" collapsed="false">
      <c r="A19" s="13" t="s">
        <v>70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customFormat="false" ht="15" hidden="false" customHeight="false" outlineLevel="0" collapsed="false">
      <c r="A20" s="15" t="s">
        <v>70</v>
      </c>
      <c r="B20" s="16" t="s">
        <v>71</v>
      </c>
      <c r="C20" s="16" t="s">
        <v>72</v>
      </c>
      <c r="D20" s="16" t="n">
        <v>2</v>
      </c>
      <c r="E20" s="16" t="s">
        <v>45</v>
      </c>
      <c r="F20" s="16" t="n">
        <v>37</v>
      </c>
      <c r="G20" s="17" t="n">
        <v>12</v>
      </c>
      <c r="H20" s="17" t="n">
        <v>3</v>
      </c>
      <c r="I20" s="18" t="n">
        <f aca="false">F20+G20-H20</f>
        <v>46</v>
      </c>
      <c r="J20" s="19"/>
      <c r="K20" s="18" t="str">
        <f aca="false">IF(J20="","",J20-I20)</f>
        <v/>
      </c>
      <c r="L20" s="20" t="n">
        <f aca="false">IFERROR(INDEX(Satis_Ortalama!$E$2:$E$18,MATCH($B20,Satis_Ortalama!$A$2:$A$18,0)),0)</f>
        <v>7.28571428571429</v>
      </c>
      <c r="M20" s="16" t="n">
        <v>1</v>
      </c>
      <c r="N20" s="16" t="n">
        <v>5</v>
      </c>
      <c r="O20" s="18"/>
      <c r="P20" s="17" t="n">
        <v>0</v>
      </c>
      <c r="Q20" s="17" t="n">
        <v>0</v>
      </c>
      <c r="R20" s="18" t="n">
        <f aca="false">M20+N20-O20-P20-Q20</f>
        <v>6</v>
      </c>
      <c r="S20" s="19"/>
      <c r="T20" s="18" t="str">
        <f aca="false">IF(S20="","",S20-R20)</f>
        <v/>
      </c>
      <c r="U20" s="21"/>
    </row>
    <row r="21" customFormat="false" ht="15" hidden="false" customHeight="false" outlineLevel="0" collapsed="false">
      <c r="A21" s="15" t="s">
        <v>70</v>
      </c>
      <c r="B21" s="16" t="s">
        <v>73</v>
      </c>
      <c r="C21" s="16" t="s">
        <v>74</v>
      </c>
      <c r="D21" s="16" t="n">
        <v>3</v>
      </c>
      <c r="E21" s="16" t="s">
        <v>45</v>
      </c>
      <c r="F21" s="16" t="n">
        <v>11</v>
      </c>
      <c r="G21" s="17" t="n">
        <v>0</v>
      </c>
      <c r="H21" s="17" t="n">
        <v>6</v>
      </c>
      <c r="I21" s="18" t="n">
        <f aca="false">F21+G21-H21</f>
        <v>5</v>
      </c>
      <c r="J21" s="19"/>
      <c r="K21" s="18" t="str">
        <f aca="false">IF(J21="","",J21-I21)</f>
        <v/>
      </c>
      <c r="L21" s="20" t="n">
        <f aca="false">IFERROR(INDEX(Satis_Ortalama!$E$2:$E$18,MATCH($B21,Satis_Ortalama!$A$2:$A$18,0)),0)</f>
        <v>7.28571428571429</v>
      </c>
      <c r="M21" s="16" t="n">
        <v>3</v>
      </c>
      <c r="N21" s="16" t="n">
        <v>7</v>
      </c>
      <c r="O21" s="18"/>
      <c r="P21" s="17" t="n">
        <v>0</v>
      </c>
      <c r="Q21" s="17" t="n">
        <v>1</v>
      </c>
      <c r="R21" s="18" t="n">
        <f aca="false">M21+N21-O21-P21-Q21</f>
        <v>9</v>
      </c>
      <c r="S21" s="19"/>
      <c r="T21" s="18" t="str">
        <f aca="false">IF(S21="","",S21-R21)</f>
        <v/>
      </c>
      <c r="U21" s="21"/>
    </row>
    <row r="22" customFormat="false" ht="15" hidden="false" customHeight="false" outlineLevel="0" collapsed="false">
      <c r="A22" s="15" t="s">
        <v>70</v>
      </c>
      <c r="B22" s="16" t="s">
        <v>75</v>
      </c>
      <c r="C22" s="16" t="s">
        <v>76</v>
      </c>
      <c r="D22" s="16" t="n">
        <v>2</v>
      </c>
      <c r="E22" s="16" t="s">
        <v>45</v>
      </c>
      <c r="F22" s="16" t="n">
        <v>36</v>
      </c>
      <c r="G22" s="17" t="n">
        <v>12</v>
      </c>
      <c r="H22" s="17" t="n">
        <v>9</v>
      </c>
      <c r="I22" s="18" t="n">
        <f aca="false">F22+G22-H22</f>
        <v>39</v>
      </c>
      <c r="J22" s="19"/>
      <c r="K22" s="18" t="str">
        <f aca="false">IF(J22="","",J22-I22)</f>
        <v/>
      </c>
      <c r="L22" s="20" t="n">
        <f aca="false">IFERROR(INDEX(Satis_Ortalama!$E$2:$E$18,MATCH($B22,Satis_Ortalama!$A$2:$A$18,0)),0)</f>
        <v>1.42857142857143</v>
      </c>
      <c r="M22" s="16" t="n">
        <v>0</v>
      </c>
      <c r="N22" s="16" t="n">
        <v>4</v>
      </c>
      <c r="O22" s="18"/>
      <c r="P22" s="17" t="n">
        <v>0</v>
      </c>
      <c r="Q22" s="17" t="n">
        <v>0</v>
      </c>
      <c r="R22" s="18" t="n">
        <f aca="false">M22+N22-O22-P22-Q22</f>
        <v>4</v>
      </c>
      <c r="S22" s="19"/>
      <c r="T22" s="18" t="str">
        <f aca="false">IF(S22="","",S22-R22)</f>
        <v/>
      </c>
      <c r="U22" s="21"/>
    </row>
    <row r="23" customFormat="false" ht="15" hidden="false" customHeight="false" outlineLevel="0" collapsed="false">
      <c r="A23" s="13" t="s">
        <v>77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customFormat="false" ht="15" hidden="false" customHeight="false" outlineLevel="0" collapsed="false">
      <c r="A24" s="15" t="s">
        <v>77</v>
      </c>
      <c r="B24" s="16" t="s">
        <v>78</v>
      </c>
      <c r="C24" s="16" t="s">
        <v>79</v>
      </c>
      <c r="D24" s="16" t="n">
        <v>2</v>
      </c>
      <c r="E24" s="16" t="s">
        <v>45</v>
      </c>
      <c r="F24" s="16" t="n">
        <v>28</v>
      </c>
      <c r="G24" s="17" t="n">
        <v>0</v>
      </c>
      <c r="H24" s="17" t="n">
        <v>3</v>
      </c>
      <c r="I24" s="18" t="n">
        <f aca="false">F24+G24-H24</f>
        <v>25</v>
      </c>
      <c r="J24" s="19"/>
      <c r="K24" s="18" t="str">
        <f aca="false">IF(J24="","",J24-I24)</f>
        <v/>
      </c>
      <c r="L24" s="20" t="n">
        <f aca="false">IFERROR(INDEX(Satis_Ortalama!$E$2:$E$18,MATCH($B24,Satis_Ortalama!$A$2:$A$18,0)),0)</f>
        <v>2</v>
      </c>
      <c r="M24" s="16" t="n">
        <v>4</v>
      </c>
      <c r="N24" s="16" t="n">
        <v>8</v>
      </c>
      <c r="O24" s="18"/>
      <c r="P24" s="17" t="n">
        <v>0</v>
      </c>
      <c r="Q24" s="17" t="n">
        <v>2</v>
      </c>
      <c r="R24" s="18" t="n">
        <f aca="false">M24+N24-O24-P24-Q24</f>
        <v>10</v>
      </c>
      <c r="S24" s="19"/>
      <c r="T24" s="18" t="str">
        <f aca="false">IF(S24="","",S24-R24)</f>
        <v/>
      </c>
      <c r="U24" s="21"/>
    </row>
    <row r="25" customFormat="false" ht="15" hidden="false" customHeight="false" outlineLevel="0" collapsed="false">
      <c r="A25" s="15" t="s">
        <v>77</v>
      </c>
      <c r="B25" s="16" t="s">
        <v>80</v>
      </c>
      <c r="C25" s="16" t="s">
        <v>81</v>
      </c>
      <c r="D25" s="16" t="n">
        <v>2</v>
      </c>
      <c r="E25" s="16" t="s">
        <v>45</v>
      </c>
      <c r="F25" s="16" t="n">
        <v>14</v>
      </c>
      <c r="G25" s="17" t="n">
        <v>24</v>
      </c>
      <c r="H25" s="17" t="n">
        <v>12</v>
      </c>
      <c r="I25" s="18" t="n">
        <f aca="false">F25+G25-H25</f>
        <v>26</v>
      </c>
      <c r="J25" s="19"/>
      <c r="K25" s="18" t="str">
        <f aca="false">IF(J25="","",J25-I25)</f>
        <v/>
      </c>
      <c r="L25" s="20" t="n">
        <f aca="false">IFERROR(INDEX(Satis_Ortalama!$E$2:$E$18,MATCH($B25,Satis_Ortalama!$A$2:$A$18,0)),0)</f>
        <v>3.14285714285714</v>
      </c>
      <c r="M25" s="16" t="n">
        <v>1</v>
      </c>
      <c r="N25" s="16" t="n">
        <v>9</v>
      </c>
      <c r="O25" s="18"/>
      <c r="P25" s="17" t="n">
        <v>0</v>
      </c>
      <c r="Q25" s="17" t="n">
        <v>0</v>
      </c>
      <c r="R25" s="18" t="n">
        <f aca="false">M25+N25-O25-P25-Q25</f>
        <v>10</v>
      </c>
      <c r="S25" s="19"/>
      <c r="T25" s="18" t="str">
        <f aca="false">IF(S25="","",S25-R25)</f>
        <v/>
      </c>
      <c r="U25" s="21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customFormat="false" ht="15" hidden="false" customHeight="false" outlineLevel="0" collapsed="false">
      <c r="A27" s="2" t="s">
        <v>82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</sheetData>
  <mergeCells count="2">
    <mergeCell ref="F2:K2"/>
    <mergeCell ref="L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3"/>
    <col collapsed="false" customWidth="true" hidden="false" outlineLevel="0" max="9" min="9" style="0" width="24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7"/>
    <col collapsed="false" customWidth="true" hidden="false" outlineLevel="0" max="13" min="13" style="0" width="13"/>
    <col collapsed="false" customWidth="true" hidden="false" outlineLevel="0" max="14" min="14" style="0" width="7"/>
    <col collapsed="false" customWidth="true" hidden="false" outlineLevel="0" max="15" min="15" style="0" width="11"/>
  </cols>
  <sheetData>
    <row r="1" customFormat="false" ht="16.15" hidden="false" customHeight="false" outlineLevel="0" collapsed="false">
      <c r="A1" s="1" t="s">
        <v>83</v>
      </c>
      <c r="B1" s="6"/>
      <c r="C1" s="6"/>
      <c r="D1" s="22" t="n">
        <f aca="false">Markout!F1</f>
        <v>46279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6" t="s">
        <v>84</v>
      </c>
      <c r="B2" s="6"/>
      <c r="C2" s="23" t="n">
        <f aca="false">Ayarlar!B7</f>
        <v>0.916666666666667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Format="false" ht="15" hidden="false" customHeight="false" outlineLevel="0" collapsed="false">
      <c r="A3" s="24" t="s">
        <v>85</v>
      </c>
      <c r="B3" s="24"/>
      <c r="C3" s="24"/>
      <c r="D3" s="24"/>
      <c r="E3" s="24"/>
      <c r="F3" s="24"/>
      <c r="G3" s="24"/>
      <c r="H3" s="6"/>
      <c r="I3" s="24" t="s">
        <v>86</v>
      </c>
      <c r="J3" s="24"/>
      <c r="K3" s="24"/>
      <c r="L3" s="24"/>
      <c r="M3" s="24"/>
      <c r="N3" s="24"/>
      <c r="O3" s="24"/>
    </row>
    <row r="4" customFormat="false" ht="23.85" hidden="false" customHeight="false" outlineLevel="0" collapsed="false">
      <c r="A4" s="10" t="s">
        <v>26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89</v>
      </c>
      <c r="G4" s="10" t="s">
        <v>91</v>
      </c>
      <c r="H4" s="6"/>
      <c r="I4" s="10" t="s">
        <v>26</v>
      </c>
      <c r="J4" s="10" t="s">
        <v>87</v>
      </c>
      <c r="K4" s="10" t="s">
        <v>88</v>
      </c>
      <c r="L4" s="10" t="s">
        <v>89</v>
      </c>
      <c r="M4" s="10" t="s">
        <v>90</v>
      </c>
      <c r="N4" s="10" t="s">
        <v>89</v>
      </c>
      <c r="O4" s="10" t="s">
        <v>91</v>
      </c>
    </row>
    <row r="5" customFormat="false" ht="15" hidden="false" customHeight="false" outlineLevel="0" collapsed="false">
      <c r="A5" s="25" t="str">
        <f aca="false">Markout!C5</f>
        <v>Peynirli simit</v>
      </c>
      <c r="B5" s="25" t="n">
        <f aca="false">IF(Markout!H5&gt;0,Markout!H5,"")</f>
        <v>10</v>
      </c>
      <c r="C5" s="26" t="n">
        <f aca="false">IF(B5="","",Markout!$F$1)</f>
        <v>46279</v>
      </c>
      <c r="D5" s="27" t="n">
        <f aca="false">IF(B5="","",Ayarlar!$B$5)</f>
        <v>0.666666666666667</v>
      </c>
      <c r="E5" s="26" t="n">
        <f aca="false">IF(B5="","",C5+1)</f>
        <v>46280</v>
      </c>
      <c r="F5" s="27" t="n">
        <f aca="false">IF(B5="","",Ayarlar!$B$6)</f>
        <v>0.333333333333333</v>
      </c>
      <c r="G5" s="26" t="n">
        <f aca="false">IF(B5="","",E5+Markout!D5-1)</f>
        <v>46280</v>
      </c>
      <c r="H5" s="6"/>
      <c r="I5" s="25" t="str">
        <f aca="false">Markout!C5</f>
        <v>Peynirli simit</v>
      </c>
      <c r="J5" s="25" t="n">
        <f aca="false">IF(Markout!N5&gt;0,Markout!N5,"")</f>
        <v>8</v>
      </c>
      <c r="K5" s="26" t="n">
        <f aca="false">IF(J5="","",Markout!$F$1-1)</f>
        <v>46278</v>
      </c>
      <c r="L5" s="27" t="n">
        <f aca="false">IF(J5="","",Ayarlar!$B$5)</f>
        <v>0.666666666666667</v>
      </c>
      <c r="M5" s="26" t="n">
        <f aca="false">IF(J5="","",K5+1)</f>
        <v>46279</v>
      </c>
      <c r="N5" s="27" t="n">
        <f aca="false">IF(J5="","",Ayarlar!$B$6)</f>
        <v>0.333333333333333</v>
      </c>
      <c r="O5" s="26" t="n">
        <f aca="false">IF(J5="","",M5+Markout!D5-1)</f>
        <v>46279</v>
      </c>
    </row>
    <row r="6" customFormat="false" ht="15" hidden="false" customHeight="false" outlineLevel="0" collapsed="false">
      <c r="A6" s="25" t="str">
        <f aca="false">Markout!C6</f>
        <v>Peynirli poğaça</v>
      </c>
      <c r="B6" s="25" t="n">
        <f aca="false">IF(Markout!H6&gt;0,Markout!H6,"")</f>
        <v>7</v>
      </c>
      <c r="C6" s="26" t="n">
        <f aca="false">IF(B6="","",Markout!$F$1)</f>
        <v>46279</v>
      </c>
      <c r="D6" s="27" t="n">
        <f aca="false">IF(B6="","",Ayarlar!$B$5)</f>
        <v>0.666666666666667</v>
      </c>
      <c r="E6" s="26" t="n">
        <f aca="false">IF(B6="","",C6+1)</f>
        <v>46280</v>
      </c>
      <c r="F6" s="27" t="n">
        <f aca="false">IF(B6="","",Ayarlar!$B$6)</f>
        <v>0.333333333333333</v>
      </c>
      <c r="G6" s="26" t="n">
        <f aca="false">IF(B6="","",E6+Markout!D6-1)</f>
        <v>46280</v>
      </c>
      <c r="H6" s="6"/>
      <c r="I6" s="25" t="str">
        <f aca="false">Markout!C6</f>
        <v>Peynirli poğaça</v>
      </c>
      <c r="J6" s="25" t="n">
        <f aca="false">IF(Markout!N6&gt;0,Markout!N6,"")</f>
        <v>10</v>
      </c>
      <c r="K6" s="26" t="n">
        <f aca="false">IF(J6="","",Markout!$F$1-1)</f>
        <v>46278</v>
      </c>
      <c r="L6" s="27" t="n">
        <f aca="false">IF(J6="","",Ayarlar!$B$5)</f>
        <v>0.666666666666667</v>
      </c>
      <c r="M6" s="26" t="n">
        <f aca="false">IF(J6="","",K6+1)</f>
        <v>46279</v>
      </c>
      <c r="N6" s="27" t="n">
        <f aca="false">IF(J6="","",Ayarlar!$B$6)</f>
        <v>0.333333333333333</v>
      </c>
      <c r="O6" s="26" t="n">
        <f aca="false">IF(J6="","",M6+Markout!D6-1)</f>
        <v>46279</v>
      </c>
    </row>
    <row r="7" customFormat="false" ht="15" hidden="false" customHeight="false" outlineLevel="0" collapsed="false">
      <c r="A7" s="25" t="str">
        <f aca="false">Markout!C7</f>
        <v>Zeytinli açma</v>
      </c>
      <c r="B7" s="25" t="n">
        <f aca="false">IF(Markout!H7&gt;0,Markout!H7,"")</f>
        <v>9</v>
      </c>
      <c r="C7" s="26" t="n">
        <f aca="false">IF(B7="","",Markout!$F$1)</f>
        <v>46279</v>
      </c>
      <c r="D7" s="27" t="n">
        <f aca="false">IF(B7="","",Ayarlar!$B$5)</f>
        <v>0.666666666666667</v>
      </c>
      <c r="E7" s="26" t="n">
        <f aca="false">IF(B7="","",C7+1)</f>
        <v>46280</v>
      </c>
      <c r="F7" s="27" t="n">
        <f aca="false">IF(B7="","",Ayarlar!$B$6)</f>
        <v>0.333333333333333</v>
      </c>
      <c r="G7" s="26" t="n">
        <f aca="false">IF(B7="","",E7+Markout!D7-1)</f>
        <v>46280</v>
      </c>
      <c r="H7" s="6"/>
      <c r="I7" s="25" t="str">
        <f aca="false">Markout!C7</f>
        <v>Zeytinli açma</v>
      </c>
      <c r="J7" s="25" t="n">
        <f aca="false">IF(Markout!N7&gt;0,Markout!N7,"")</f>
        <v>11</v>
      </c>
      <c r="K7" s="26" t="n">
        <f aca="false">IF(J7="","",Markout!$F$1-1)</f>
        <v>46278</v>
      </c>
      <c r="L7" s="27" t="n">
        <f aca="false">IF(J7="","",Ayarlar!$B$5)</f>
        <v>0.666666666666667</v>
      </c>
      <c r="M7" s="26" t="n">
        <f aca="false">IF(J7="","",K7+1)</f>
        <v>46279</v>
      </c>
      <c r="N7" s="27" t="n">
        <f aca="false">IF(J7="","",Ayarlar!$B$6)</f>
        <v>0.333333333333333</v>
      </c>
      <c r="O7" s="26" t="n">
        <f aca="false">IF(J7="","",M7+Markout!D7-1)</f>
        <v>46279</v>
      </c>
    </row>
    <row r="8" customFormat="false" ht="15" hidden="false" customHeight="false" outlineLevel="0" collapsed="false">
      <c r="A8" s="25" t="str">
        <f aca="false">Markout!C8</f>
        <v>Sade kruvasan</v>
      </c>
      <c r="B8" s="25" t="n">
        <f aca="false">IF(Markout!H8&gt;0,Markout!H8,"")</f>
        <v>11</v>
      </c>
      <c r="C8" s="26" t="n">
        <f aca="false">IF(B8="","",Markout!$F$1)</f>
        <v>46279</v>
      </c>
      <c r="D8" s="27" t="n">
        <f aca="false">IF(B8="","",Ayarlar!$B$5)</f>
        <v>0.666666666666667</v>
      </c>
      <c r="E8" s="26" t="n">
        <f aca="false">IF(B8="","",C8+1)</f>
        <v>46280</v>
      </c>
      <c r="F8" s="27" t="n">
        <f aca="false">IF(B8="","",Ayarlar!$B$6)</f>
        <v>0.333333333333333</v>
      </c>
      <c r="G8" s="26" t="n">
        <f aca="false">IF(B8="","",E8+Markout!D8-1)</f>
        <v>46280</v>
      </c>
      <c r="H8" s="6"/>
      <c r="I8" s="25" t="str">
        <f aca="false">Markout!C8</f>
        <v>Sade kruvasan</v>
      </c>
      <c r="J8" s="25" t="n">
        <f aca="false">IF(Markout!N8&gt;0,Markout!N8,"")</f>
        <v>7</v>
      </c>
      <c r="K8" s="26" t="n">
        <f aca="false">IF(J8="","",Markout!$F$1-1)</f>
        <v>46278</v>
      </c>
      <c r="L8" s="27" t="n">
        <f aca="false">IF(J8="","",Ayarlar!$B$5)</f>
        <v>0.666666666666667</v>
      </c>
      <c r="M8" s="26" t="n">
        <f aca="false">IF(J8="","",K8+1)</f>
        <v>46279</v>
      </c>
      <c r="N8" s="27" t="n">
        <f aca="false">IF(J8="","",Ayarlar!$B$6)</f>
        <v>0.333333333333333</v>
      </c>
      <c r="O8" s="26" t="n">
        <f aca="false">IF(J8="","",M8+Markout!D8-1)</f>
        <v>46279</v>
      </c>
    </row>
    <row r="9" customFormat="false" ht="15" hidden="false" customHeight="false" outlineLevel="0" collapsed="false">
      <c r="A9" s="25" t="str">
        <f aca="false">Markout!C9</f>
        <v>Çikolatalı kruvasan</v>
      </c>
      <c r="B9" s="25" t="n">
        <f aca="false">IF(Markout!H9&gt;0,Markout!H9,"")</f>
        <v>9</v>
      </c>
      <c r="C9" s="26" t="n">
        <f aca="false">IF(B9="","",Markout!$F$1)</f>
        <v>46279</v>
      </c>
      <c r="D9" s="27" t="n">
        <f aca="false">IF(B9="","",Ayarlar!$B$5)</f>
        <v>0.666666666666667</v>
      </c>
      <c r="E9" s="26" t="n">
        <f aca="false">IF(B9="","",C9+1)</f>
        <v>46280</v>
      </c>
      <c r="F9" s="27" t="n">
        <f aca="false">IF(B9="","",Ayarlar!$B$6)</f>
        <v>0.333333333333333</v>
      </c>
      <c r="G9" s="26" t="n">
        <f aca="false">IF(B9="","",E9+Markout!D9-1)</f>
        <v>46280</v>
      </c>
      <c r="H9" s="6"/>
      <c r="I9" s="25" t="str">
        <f aca="false">Markout!C9</f>
        <v>Çikolatalı kruvasan</v>
      </c>
      <c r="J9" s="25" t="n">
        <f aca="false">IF(Markout!N9&gt;0,Markout!N9,"")</f>
        <v>4</v>
      </c>
      <c r="K9" s="26" t="n">
        <f aca="false">IF(J9="","",Markout!$F$1-1)</f>
        <v>46278</v>
      </c>
      <c r="L9" s="27" t="n">
        <f aca="false">IF(J9="","",Ayarlar!$B$5)</f>
        <v>0.666666666666667</v>
      </c>
      <c r="M9" s="26" t="n">
        <f aca="false">IF(J9="","",K9+1)</f>
        <v>46279</v>
      </c>
      <c r="N9" s="27" t="n">
        <f aca="false">IF(J9="","",Ayarlar!$B$6)</f>
        <v>0.333333333333333</v>
      </c>
      <c r="O9" s="26" t="n">
        <f aca="false">IF(J9="","",M9+Markout!D9-1)</f>
        <v>46279</v>
      </c>
    </row>
    <row r="10" customFormat="false" ht="15" hidden="false" customHeight="false" outlineLevel="0" collapsed="false">
      <c r="A10" s="25" t="str">
        <f aca="false">Markout!C11</f>
        <v>Yaban mersinli muffin</v>
      </c>
      <c r="B10" s="25" t="n">
        <f aca="false">IF(Markout!H11&gt;0,Markout!H11,"")</f>
        <v>3</v>
      </c>
      <c r="C10" s="26" t="n">
        <f aca="false">IF(B10="","",Markout!$F$1)</f>
        <v>46279</v>
      </c>
      <c r="D10" s="27" t="n">
        <f aca="false">IF(B10="","",Ayarlar!$B$5)</f>
        <v>0.666666666666667</v>
      </c>
      <c r="E10" s="26" t="n">
        <f aca="false">IF(B10="","",C10+1)</f>
        <v>46280</v>
      </c>
      <c r="F10" s="27" t="n">
        <f aca="false">IF(B10="","",Ayarlar!$B$6)</f>
        <v>0.333333333333333</v>
      </c>
      <c r="G10" s="26" t="n">
        <f aca="false">IF(B10="","",E10+Markout!D11-1)</f>
        <v>46281</v>
      </c>
      <c r="H10" s="6"/>
      <c r="I10" s="25" t="str">
        <f aca="false">Markout!C11</f>
        <v>Yaban mersinli muffin</v>
      </c>
      <c r="J10" s="25" t="n">
        <f aca="false">IF(Markout!N11&gt;0,Markout!N11,"")</f>
        <v>6</v>
      </c>
      <c r="K10" s="26" t="n">
        <f aca="false">IF(J10="","",Markout!$F$1-1)</f>
        <v>46278</v>
      </c>
      <c r="L10" s="27" t="n">
        <f aca="false">IF(J10="","",Ayarlar!$B$5)</f>
        <v>0.666666666666667</v>
      </c>
      <c r="M10" s="26" t="n">
        <f aca="false">IF(J10="","",K10+1)</f>
        <v>46279</v>
      </c>
      <c r="N10" s="27" t="n">
        <f aca="false">IF(J10="","",Ayarlar!$B$6)</f>
        <v>0.333333333333333</v>
      </c>
      <c r="O10" s="26" t="n">
        <f aca="false">IF(J10="","",M10+Markout!D11-1)</f>
        <v>46280</v>
      </c>
    </row>
    <row r="11" customFormat="false" ht="15" hidden="false" customHeight="false" outlineLevel="0" collapsed="false">
      <c r="A11" s="25" t="str">
        <f aca="false">Markout!C12</f>
        <v>Çikolatalı muffin</v>
      </c>
      <c r="B11" s="25" t="n">
        <f aca="false">IF(Markout!H12&gt;0,Markout!H12,"")</f>
        <v>9</v>
      </c>
      <c r="C11" s="26" t="n">
        <f aca="false">IF(B11="","",Markout!$F$1)</f>
        <v>46279</v>
      </c>
      <c r="D11" s="27" t="n">
        <f aca="false">IF(B11="","",Ayarlar!$B$5)</f>
        <v>0.666666666666667</v>
      </c>
      <c r="E11" s="26" t="n">
        <f aca="false">IF(B11="","",C11+1)</f>
        <v>46280</v>
      </c>
      <c r="F11" s="27" t="n">
        <f aca="false">IF(B11="","",Ayarlar!$B$6)</f>
        <v>0.333333333333333</v>
      </c>
      <c r="G11" s="26" t="n">
        <f aca="false">IF(B11="","",E11+Markout!D12-1)</f>
        <v>46281</v>
      </c>
      <c r="H11" s="6"/>
      <c r="I11" s="25" t="str">
        <f aca="false">Markout!C12</f>
        <v>Çikolatalı muffin</v>
      </c>
      <c r="J11" s="25" t="n">
        <f aca="false">IF(Markout!N12&gt;0,Markout!N12,"")</f>
        <v>12</v>
      </c>
      <c r="K11" s="26" t="n">
        <f aca="false">IF(J11="","",Markout!$F$1-1)</f>
        <v>46278</v>
      </c>
      <c r="L11" s="27" t="n">
        <f aca="false">IF(J11="","",Ayarlar!$B$5)</f>
        <v>0.666666666666667</v>
      </c>
      <c r="M11" s="26" t="n">
        <f aca="false">IF(J11="","",K11+1)</f>
        <v>46279</v>
      </c>
      <c r="N11" s="27" t="n">
        <f aca="false">IF(J11="","",Ayarlar!$B$6)</f>
        <v>0.333333333333333</v>
      </c>
      <c r="O11" s="26" t="n">
        <f aca="false">IF(J11="","",M11+Markout!D12-1)</f>
        <v>46280</v>
      </c>
    </row>
    <row r="12" customFormat="false" ht="15" hidden="false" customHeight="false" outlineLevel="0" collapsed="false">
      <c r="A12" s="25" t="str">
        <f aca="false">Markout!C13</f>
        <v>Çikolatalı kurabiye</v>
      </c>
      <c r="B12" s="25" t="n">
        <f aca="false">IF(Markout!H13&gt;0,Markout!H13,"")</f>
        <v>8</v>
      </c>
      <c r="C12" s="26" t="n">
        <f aca="false">IF(B12="","",Markout!$F$1)</f>
        <v>46279</v>
      </c>
      <c r="D12" s="27" t="n">
        <f aca="false">IF(B12="","",Ayarlar!$B$5)</f>
        <v>0.666666666666667</v>
      </c>
      <c r="E12" s="26" t="n">
        <f aca="false">IF(B12="","",C12+1)</f>
        <v>46280</v>
      </c>
      <c r="F12" s="27" t="n">
        <f aca="false">IF(B12="","",Ayarlar!$B$6)</f>
        <v>0.333333333333333</v>
      </c>
      <c r="G12" s="26" t="n">
        <f aca="false">IF(B12="","",E12+Markout!D13-1)</f>
        <v>46282</v>
      </c>
      <c r="H12" s="6"/>
      <c r="I12" s="25" t="str">
        <f aca="false">Markout!C13</f>
        <v>Çikolatalı kurabiye</v>
      </c>
      <c r="J12" s="25" t="n">
        <f aca="false">IF(Markout!N13&gt;0,Markout!N13,"")</f>
        <v>7</v>
      </c>
      <c r="K12" s="26" t="n">
        <f aca="false">IF(J12="","",Markout!$F$1-1)</f>
        <v>46278</v>
      </c>
      <c r="L12" s="27" t="n">
        <f aca="false">IF(J12="","",Ayarlar!$B$5)</f>
        <v>0.666666666666667</v>
      </c>
      <c r="M12" s="26" t="n">
        <f aca="false">IF(J12="","",K12+1)</f>
        <v>46279</v>
      </c>
      <c r="N12" s="27" t="n">
        <f aca="false">IF(J12="","",Ayarlar!$B$6)</f>
        <v>0.333333333333333</v>
      </c>
      <c r="O12" s="26" t="n">
        <f aca="false">IF(J12="","",M12+Markout!D13-1)</f>
        <v>46281</v>
      </c>
    </row>
    <row r="13" customFormat="false" ht="15" hidden="false" customHeight="false" outlineLevel="0" collapsed="false">
      <c r="A13" s="25" t="str">
        <f aca="false">Markout!C14</f>
        <v>Yulaflı kurabiye</v>
      </c>
      <c r="B13" s="25" t="n">
        <f aca="false">IF(Markout!H14&gt;0,Markout!H14,"")</f>
        <v>4</v>
      </c>
      <c r="C13" s="26" t="n">
        <f aca="false">IF(B13="","",Markout!$F$1)</f>
        <v>46279</v>
      </c>
      <c r="D13" s="27" t="n">
        <f aca="false">IF(B13="","",Ayarlar!$B$5)</f>
        <v>0.666666666666667</v>
      </c>
      <c r="E13" s="26" t="n">
        <f aca="false">IF(B13="","",C13+1)</f>
        <v>46280</v>
      </c>
      <c r="F13" s="27" t="n">
        <f aca="false">IF(B13="","",Ayarlar!$B$6)</f>
        <v>0.333333333333333</v>
      </c>
      <c r="G13" s="26" t="n">
        <f aca="false">IF(B13="","",E13+Markout!D14-1)</f>
        <v>46282</v>
      </c>
      <c r="H13" s="6"/>
      <c r="I13" s="25" t="str">
        <f aca="false">Markout!C14</f>
        <v>Yulaflı kurabiye</v>
      </c>
      <c r="J13" s="25" t="n">
        <f aca="false">IF(Markout!N14&gt;0,Markout!N14,"")</f>
        <v>6</v>
      </c>
      <c r="K13" s="26" t="n">
        <f aca="false">IF(J13="","",Markout!$F$1-1)</f>
        <v>46278</v>
      </c>
      <c r="L13" s="27" t="n">
        <f aca="false">IF(J13="","",Ayarlar!$B$5)</f>
        <v>0.666666666666667</v>
      </c>
      <c r="M13" s="26" t="n">
        <f aca="false">IF(J13="","",K13+1)</f>
        <v>46279</v>
      </c>
      <c r="N13" s="27" t="n">
        <f aca="false">IF(J13="","",Ayarlar!$B$6)</f>
        <v>0.333333333333333</v>
      </c>
      <c r="O13" s="26" t="n">
        <f aca="false">IF(J13="","",M13+Markout!D14-1)</f>
        <v>46281</v>
      </c>
    </row>
    <row r="14" customFormat="false" ht="15" hidden="false" customHeight="false" outlineLevel="0" collapsed="false">
      <c r="A14" s="25" t="str">
        <f aca="false">Markout!C16</f>
        <v>Kaşarlı tost</v>
      </c>
      <c r="B14" s="25" t="n">
        <f aca="false">IF(Markout!H16&gt;0,Markout!H16,"")</f>
        <v>10</v>
      </c>
      <c r="C14" s="26" t="n">
        <f aca="false">IF(B14="","",Markout!$F$1)</f>
        <v>46279</v>
      </c>
      <c r="D14" s="27" t="n">
        <f aca="false">IF(B14="","",Ayarlar!$B$5)</f>
        <v>0.666666666666667</v>
      </c>
      <c r="E14" s="26" t="n">
        <f aca="false">IF(B14="","",C14+1)</f>
        <v>46280</v>
      </c>
      <c r="F14" s="27" t="n">
        <f aca="false">IF(B14="","",Ayarlar!$B$6)</f>
        <v>0.333333333333333</v>
      </c>
      <c r="G14" s="26" t="n">
        <f aca="false">IF(B14="","",E14+Markout!D16-1)</f>
        <v>46280</v>
      </c>
      <c r="H14" s="6"/>
      <c r="I14" s="25" t="str">
        <f aca="false">Markout!C16</f>
        <v>Kaşarlı tost</v>
      </c>
      <c r="J14" s="25" t="n">
        <f aca="false">IF(Markout!N16&gt;0,Markout!N16,"")</f>
        <v>10</v>
      </c>
      <c r="K14" s="26" t="n">
        <f aca="false">IF(J14="","",Markout!$F$1-1)</f>
        <v>46278</v>
      </c>
      <c r="L14" s="27" t="n">
        <f aca="false">IF(J14="","",Ayarlar!$B$5)</f>
        <v>0.666666666666667</v>
      </c>
      <c r="M14" s="26" t="n">
        <f aca="false">IF(J14="","",K14+1)</f>
        <v>46279</v>
      </c>
      <c r="N14" s="27" t="n">
        <f aca="false">IF(J14="","",Ayarlar!$B$6)</f>
        <v>0.333333333333333</v>
      </c>
      <c r="O14" s="26" t="n">
        <f aca="false">IF(J14="","",M14+Markout!D16-1)</f>
        <v>46279</v>
      </c>
    </row>
    <row r="15" customFormat="false" ht="15" hidden="false" customHeight="false" outlineLevel="0" collapsed="false">
      <c r="A15" s="25" t="str">
        <f aca="false">Markout!C17</f>
        <v>Hindi füme sandviç</v>
      </c>
      <c r="B15" s="25" t="n">
        <f aca="false">IF(Markout!H17&gt;0,Markout!H17,"")</f>
        <v>5</v>
      </c>
      <c r="C15" s="26" t="n">
        <f aca="false">IF(B15="","",Markout!$F$1)</f>
        <v>46279</v>
      </c>
      <c r="D15" s="27" t="n">
        <f aca="false">IF(B15="","",Ayarlar!$B$5)</f>
        <v>0.666666666666667</v>
      </c>
      <c r="E15" s="26" t="n">
        <f aca="false">IF(B15="","",C15+1)</f>
        <v>46280</v>
      </c>
      <c r="F15" s="27" t="n">
        <f aca="false">IF(B15="","",Ayarlar!$B$6)</f>
        <v>0.333333333333333</v>
      </c>
      <c r="G15" s="26" t="n">
        <f aca="false">IF(B15="","",E15+Markout!D17-1)</f>
        <v>46280</v>
      </c>
      <c r="H15" s="6"/>
      <c r="I15" s="25" t="str">
        <f aca="false">Markout!C17</f>
        <v>Hindi füme sandviç</v>
      </c>
      <c r="J15" s="25" t="n">
        <f aca="false">IF(Markout!N17&gt;0,Markout!N17,"")</f>
        <v>9</v>
      </c>
      <c r="K15" s="26" t="n">
        <f aca="false">IF(J15="","",Markout!$F$1-1)</f>
        <v>46278</v>
      </c>
      <c r="L15" s="27" t="n">
        <f aca="false">IF(J15="","",Ayarlar!$B$5)</f>
        <v>0.666666666666667</v>
      </c>
      <c r="M15" s="26" t="n">
        <f aca="false">IF(J15="","",K15+1)</f>
        <v>46279</v>
      </c>
      <c r="N15" s="27" t="n">
        <f aca="false">IF(J15="","",Ayarlar!$B$6)</f>
        <v>0.333333333333333</v>
      </c>
      <c r="O15" s="26" t="n">
        <f aca="false">IF(J15="","",M15+Markout!D17-1)</f>
        <v>46279</v>
      </c>
    </row>
    <row r="16" customFormat="false" ht="15" hidden="false" customHeight="false" outlineLevel="0" collapsed="false">
      <c r="A16" s="25" t="str">
        <f aca="false">Markout!C18</f>
        <v>Mozzarellalı sandviç</v>
      </c>
      <c r="B16" s="25" t="n">
        <f aca="false">IF(Markout!H18&gt;0,Markout!H18,"")</f>
        <v>9</v>
      </c>
      <c r="C16" s="26" t="n">
        <f aca="false">IF(B16="","",Markout!$F$1)</f>
        <v>46279</v>
      </c>
      <c r="D16" s="27" t="n">
        <f aca="false">IF(B16="","",Ayarlar!$B$5)</f>
        <v>0.666666666666667</v>
      </c>
      <c r="E16" s="26" t="n">
        <f aca="false">IF(B16="","",C16+1)</f>
        <v>46280</v>
      </c>
      <c r="F16" s="27" t="n">
        <f aca="false">IF(B16="","",Ayarlar!$B$6)</f>
        <v>0.333333333333333</v>
      </c>
      <c r="G16" s="26" t="n">
        <f aca="false">IF(B16="","",E16+Markout!D18-1)</f>
        <v>46280</v>
      </c>
      <c r="H16" s="6"/>
      <c r="I16" s="25" t="str">
        <f aca="false">Markout!C18</f>
        <v>Mozzarellalı sandviç</v>
      </c>
      <c r="J16" s="25" t="n">
        <f aca="false">IF(Markout!N18&gt;0,Markout!N18,"")</f>
        <v>6</v>
      </c>
      <c r="K16" s="26" t="n">
        <f aca="false">IF(J16="","",Markout!$F$1-1)</f>
        <v>46278</v>
      </c>
      <c r="L16" s="27" t="n">
        <f aca="false">IF(J16="","",Ayarlar!$B$5)</f>
        <v>0.666666666666667</v>
      </c>
      <c r="M16" s="26" t="n">
        <f aca="false">IF(J16="","",K16+1)</f>
        <v>46279</v>
      </c>
      <c r="N16" s="27" t="n">
        <f aca="false">IF(J16="","",Ayarlar!$B$6)</f>
        <v>0.333333333333333</v>
      </c>
      <c r="O16" s="26" t="n">
        <f aca="false">IF(J16="","",M16+Markout!D18-1)</f>
        <v>46279</v>
      </c>
    </row>
    <row r="17" customFormat="false" ht="15" hidden="false" customHeight="false" outlineLevel="0" collapsed="false">
      <c r="A17" s="25" t="str">
        <f aca="false">Markout!C20</f>
        <v>Havuçlu kek</v>
      </c>
      <c r="B17" s="25" t="n">
        <f aca="false">IF(Markout!H20&gt;0,Markout!H20,"")</f>
        <v>3</v>
      </c>
      <c r="C17" s="26" t="n">
        <f aca="false">IF(B17="","",Markout!$F$1)</f>
        <v>46279</v>
      </c>
      <c r="D17" s="27" t="n">
        <f aca="false">IF(B17="","",Ayarlar!$B$5)</f>
        <v>0.666666666666667</v>
      </c>
      <c r="E17" s="26" t="n">
        <f aca="false">IF(B17="","",C17+1)</f>
        <v>46280</v>
      </c>
      <c r="F17" s="27" t="n">
        <f aca="false">IF(B17="","",Ayarlar!$B$6)</f>
        <v>0.333333333333333</v>
      </c>
      <c r="G17" s="26" t="n">
        <f aca="false">IF(B17="","",E17+Markout!D20-1)</f>
        <v>46281</v>
      </c>
      <c r="H17" s="6"/>
      <c r="I17" s="25" t="str">
        <f aca="false">Markout!C20</f>
        <v>Havuçlu kek</v>
      </c>
      <c r="J17" s="25" t="n">
        <f aca="false">IF(Markout!N20&gt;0,Markout!N20,"")</f>
        <v>5</v>
      </c>
      <c r="K17" s="26" t="n">
        <f aca="false">IF(J17="","",Markout!$F$1-1)</f>
        <v>46278</v>
      </c>
      <c r="L17" s="27" t="n">
        <f aca="false">IF(J17="","",Ayarlar!$B$5)</f>
        <v>0.666666666666667</v>
      </c>
      <c r="M17" s="26" t="n">
        <f aca="false">IF(J17="","",K17+1)</f>
        <v>46279</v>
      </c>
      <c r="N17" s="27" t="n">
        <f aca="false">IF(J17="","",Ayarlar!$B$6)</f>
        <v>0.333333333333333</v>
      </c>
      <c r="O17" s="26" t="n">
        <f aca="false">IF(J17="","",M17+Markout!D20-1)</f>
        <v>46280</v>
      </c>
    </row>
    <row r="18" customFormat="false" ht="15" hidden="false" customHeight="false" outlineLevel="0" collapsed="false">
      <c r="A18" s="25" t="str">
        <f aca="false">Markout!C21</f>
        <v>Brownie</v>
      </c>
      <c r="B18" s="25" t="n">
        <f aca="false">IF(Markout!H21&gt;0,Markout!H21,"")</f>
        <v>6</v>
      </c>
      <c r="C18" s="26" t="n">
        <f aca="false">IF(B18="","",Markout!$F$1)</f>
        <v>46279</v>
      </c>
      <c r="D18" s="27" t="n">
        <f aca="false">IF(B18="","",Ayarlar!$B$5)</f>
        <v>0.666666666666667</v>
      </c>
      <c r="E18" s="26" t="n">
        <f aca="false">IF(B18="","",C18+1)</f>
        <v>46280</v>
      </c>
      <c r="F18" s="27" t="n">
        <f aca="false">IF(B18="","",Ayarlar!$B$6)</f>
        <v>0.333333333333333</v>
      </c>
      <c r="G18" s="26" t="n">
        <f aca="false">IF(B18="","",E18+Markout!D21-1)</f>
        <v>46282</v>
      </c>
      <c r="H18" s="6"/>
      <c r="I18" s="25" t="str">
        <f aca="false">Markout!C21</f>
        <v>Brownie</v>
      </c>
      <c r="J18" s="25" t="n">
        <f aca="false">IF(Markout!N21&gt;0,Markout!N21,"")</f>
        <v>7</v>
      </c>
      <c r="K18" s="26" t="n">
        <f aca="false">IF(J18="","",Markout!$F$1-1)</f>
        <v>46278</v>
      </c>
      <c r="L18" s="27" t="n">
        <f aca="false">IF(J18="","",Ayarlar!$B$5)</f>
        <v>0.666666666666667</v>
      </c>
      <c r="M18" s="26" t="n">
        <f aca="false">IF(J18="","",K18+1)</f>
        <v>46279</v>
      </c>
      <c r="N18" s="27" t="n">
        <f aca="false">IF(J18="","",Ayarlar!$B$6)</f>
        <v>0.333333333333333</v>
      </c>
      <c r="O18" s="26" t="n">
        <f aca="false">IF(J18="","",M18+Markout!D21-1)</f>
        <v>46281</v>
      </c>
    </row>
    <row r="19" customFormat="false" ht="15" hidden="false" customHeight="false" outlineLevel="0" collapsed="false">
      <c r="A19" s="25" t="str">
        <f aca="false">Markout!C22</f>
        <v>Limonlu kek</v>
      </c>
      <c r="B19" s="25" t="n">
        <f aca="false">IF(Markout!H22&gt;0,Markout!H22,"")</f>
        <v>9</v>
      </c>
      <c r="C19" s="26" t="n">
        <f aca="false">IF(B19="","",Markout!$F$1)</f>
        <v>46279</v>
      </c>
      <c r="D19" s="27" t="n">
        <f aca="false">IF(B19="","",Ayarlar!$B$5)</f>
        <v>0.666666666666667</v>
      </c>
      <c r="E19" s="26" t="n">
        <f aca="false">IF(B19="","",C19+1)</f>
        <v>46280</v>
      </c>
      <c r="F19" s="27" t="n">
        <f aca="false">IF(B19="","",Ayarlar!$B$6)</f>
        <v>0.333333333333333</v>
      </c>
      <c r="G19" s="26" t="n">
        <f aca="false">IF(B19="","",E19+Markout!D22-1)</f>
        <v>46281</v>
      </c>
      <c r="H19" s="6"/>
      <c r="I19" s="25" t="str">
        <f aca="false">Markout!C22</f>
        <v>Limonlu kek</v>
      </c>
      <c r="J19" s="25" t="n">
        <f aca="false">IF(Markout!N22&gt;0,Markout!N22,"")</f>
        <v>4</v>
      </c>
      <c r="K19" s="26" t="n">
        <f aca="false">IF(J19="","",Markout!$F$1-1)</f>
        <v>46278</v>
      </c>
      <c r="L19" s="27" t="n">
        <f aca="false">IF(J19="","",Ayarlar!$B$5)</f>
        <v>0.666666666666667</v>
      </c>
      <c r="M19" s="26" t="n">
        <f aca="false">IF(J19="","",K19+1)</f>
        <v>46279</v>
      </c>
      <c r="N19" s="27" t="n">
        <f aca="false">IF(J19="","",Ayarlar!$B$6)</f>
        <v>0.333333333333333</v>
      </c>
      <c r="O19" s="26" t="n">
        <f aca="false">IF(J19="","",M19+Markout!D22-1)</f>
        <v>46280</v>
      </c>
    </row>
    <row r="20" customFormat="false" ht="15" hidden="false" customHeight="false" outlineLevel="0" collapsed="false">
      <c r="A20" s="25" t="str">
        <f aca="false">Markout!C24</f>
        <v>Frambuazlı cheesecake</v>
      </c>
      <c r="B20" s="25" t="n">
        <f aca="false">IF(Markout!H24&gt;0,Markout!H24,"")</f>
        <v>3</v>
      </c>
      <c r="C20" s="26" t="n">
        <f aca="false">IF(B20="","",Markout!$F$1)</f>
        <v>46279</v>
      </c>
      <c r="D20" s="27" t="n">
        <f aca="false">IF(B20="","",Ayarlar!$B$5)</f>
        <v>0.666666666666667</v>
      </c>
      <c r="E20" s="26" t="n">
        <f aca="false">IF(B20="","",C20+1)</f>
        <v>46280</v>
      </c>
      <c r="F20" s="27" t="n">
        <f aca="false">IF(B20="","",Ayarlar!$B$6)</f>
        <v>0.333333333333333</v>
      </c>
      <c r="G20" s="26" t="n">
        <f aca="false">IF(B20="","",E20+Markout!D24-1)</f>
        <v>46281</v>
      </c>
      <c r="H20" s="6"/>
      <c r="I20" s="25" t="str">
        <f aca="false">Markout!C24</f>
        <v>Frambuazlı cheesecake</v>
      </c>
      <c r="J20" s="25" t="n">
        <f aca="false">IF(Markout!N24&gt;0,Markout!N24,"")</f>
        <v>8</v>
      </c>
      <c r="K20" s="26" t="n">
        <f aca="false">IF(J20="","",Markout!$F$1-1)</f>
        <v>46278</v>
      </c>
      <c r="L20" s="27" t="n">
        <f aca="false">IF(J20="","",Ayarlar!$B$5)</f>
        <v>0.666666666666667</v>
      </c>
      <c r="M20" s="26" t="n">
        <f aca="false">IF(J20="","",K20+1)</f>
        <v>46279</v>
      </c>
      <c r="N20" s="27" t="n">
        <f aca="false">IF(J20="","",Ayarlar!$B$6)</f>
        <v>0.333333333333333</v>
      </c>
      <c r="O20" s="26" t="n">
        <f aca="false">IF(J20="","",M20+Markout!D24-1)</f>
        <v>46280</v>
      </c>
    </row>
    <row r="21" customFormat="false" ht="15" hidden="false" customHeight="false" outlineLevel="0" collapsed="false">
      <c r="A21" s="25" t="str">
        <f aca="false">Markout!C25</f>
        <v>Limonlu cheesecake</v>
      </c>
      <c r="B21" s="25" t="n">
        <f aca="false">IF(Markout!H25&gt;0,Markout!H25,"")</f>
        <v>12</v>
      </c>
      <c r="C21" s="26" t="n">
        <f aca="false">IF(B21="","",Markout!$F$1)</f>
        <v>46279</v>
      </c>
      <c r="D21" s="27" t="n">
        <f aca="false">IF(B21="","",Ayarlar!$B$5)</f>
        <v>0.666666666666667</v>
      </c>
      <c r="E21" s="26" t="n">
        <f aca="false">IF(B21="","",C21+1)</f>
        <v>46280</v>
      </c>
      <c r="F21" s="27" t="n">
        <f aca="false">IF(B21="","",Ayarlar!$B$6)</f>
        <v>0.333333333333333</v>
      </c>
      <c r="G21" s="26" t="n">
        <f aca="false">IF(B21="","",E21+Markout!D25-1)</f>
        <v>46281</v>
      </c>
      <c r="H21" s="6"/>
      <c r="I21" s="25" t="str">
        <f aca="false">Markout!C25</f>
        <v>Limonlu cheesecake</v>
      </c>
      <c r="J21" s="25" t="n">
        <f aca="false">IF(Markout!N25&gt;0,Markout!N25,"")</f>
        <v>9</v>
      </c>
      <c r="K21" s="26" t="n">
        <f aca="false">IF(J21="","",Markout!$F$1-1)</f>
        <v>46278</v>
      </c>
      <c r="L21" s="27" t="n">
        <f aca="false">IF(J21="","",Ayarlar!$B$5)</f>
        <v>0.666666666666667</v>
      </c>
      <c r="M21" s="26" t="n">
        <f aca="false">IF(J21="","",K21+1)</f>
        <v>46279</v>
      </c>
      <c r="N21" s="27" t="n">
        <f aca="false">IF(J21="","",Ayarlar!$B$6)</f>
        <v>0.333333333333333</v>
      </c>
      <c r="O21" s="26" t="n">
        <f aca="false">IF(J21="","",M21+Markout!D25-1)</f>
        <v>46280</v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2" t="s">
        <v>92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</sheetData>
  <mergeCells count="2">
    <mergeCell ref="A3:G3"/>
    <mergeCell ref="I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93</v>
      </c>
      <c r="B1" s="6"/>
      <c r="C1" s="6"/>
    </row>
    <row r="2" customFormat="false" ht="15" hidden="false" customHeight="false" outlineLevel="0" collapsed="false">
      <c r="A2" s="6"/>
      <c r="B2" s="6"/>
      <c r="C2" s="6"/>
    </row>
    <row r="3" customFormat="false" ht="15" hidden="false" customHeight="false" outlineLevel="0" collapsed="false">
      <c r="A3" s="4" t="s">
        <v>94</v>
      </c>
      <c r="B3" s="16" t="s">
        <v>95</v>
      </c>
      <c r="C3" s="28"/>
    </row>
    <row r="4" customFormat="false" ht="15" hidden="false" customHeight="false" outlineLevel="0" collapsed="false">
      <c r="A4" s="4" t="s">
        <v>96</v>
      </c>
      <c r="B4" s="16" t="s">
        <v>97</v>
      </c>
      <c r="C4" s="28" t="s">
        <v>98</v>
      </c>
    </row>
    <row r="5" customFormat="false" ht="15" hidden="false" customHeight="false" outlineLevel="0" collapsed="false">
      <c r="A5" s="4" t="s">
        <v>99</v>
      </c>
      <c r="B5" s="29" t="n">
        <v>0.666666666666667</v>
      </c>
      <c r="C5" s="28"/>
    </row>
    <row r="6" customFormat="false" ht="15" hidden="false" customHeight="false" outlineLevel="0" collapsed="false">
      <c r="A6" s="4" t="s">
        <v>100</v>
      </c>
      <c r="B6" s="29" t="n">
        <v>0.333333333333333</v>
      </c>
      <c r="C6" s="28" t="s">
        <v>101</v>
      </c>
    </row>
    <row r="7" customFormat="false" ht="15" hidden="false" customHeight="false" outlineLevel="0" collapsed="false">
      <c r="A7" s="4" t="s">
        <v>102</v>
      </c>
      <c r="B7" s="29" t="n">
        <v>0.916666666666667</v>
      </c>
      <c r="C7" s="28"/>
    </row>
    <row r="8" customFormat="false" ht="15" hidden="false" customHeight="false" outlineLevel="0" collapsed="false">
      <c r="A8" s="4" t="s">
        <v>103</v>
      </c>
      <c r="B8" s="16" t="n">
        <v>2</v>
      </c>
      <c r="C8" s="28" t="s">
        <v>104</v>
      </c>
    </row>
    <row r="9" customFormat="false" ht="15" hidden="false" customHeight="false" outlineLevel="0" collapsed="false">
      <c r="A9" s="4" t="s">
        <v>105</v>
      </c>
      <c r="B9" s="16" t="n">
        <v>6</v>
      </c>
      <c r="C9" s="28" t="s">
        <v>106</v>
      </c>
    </row>
    <row r="10" customFormat="false" ht="15" hidden="false" customHeight="false" outlineLevel="0" collapsed="false">
      <c r="A10" s="4" t="s">
        <v>107</v>
      </c>
      <c r="B10" s="16" t="n">
        <v>2</v>
      </c>
      <c r="C10" s="28" t="s">
        <v>108</v>
      </c>
    </row>
  </sheetData>
  <dataValidations count="1">
    <dataValidation allowBlank="false" errorStyle="stop" operator="between" showDropDown="false" showErrorMessage="false" showInputMessage="false" sqref="B4" type="list">
      <formula1>"Haftalık,Aylık"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0" t="s">
        <v>25</v>
      </c>
      <c r="B1" s="10" t="s">
        <v>26</v>
      </c>
      <c r="C1" s="10" t="s">
        <v>109</v>
      </c>
      <c r="D1" s="10" t="s">
        <v>110</v>
      </c>
      <c r="E1" s="10" t="s">
        <v>111</v>
      </c>
    </row>
    <row r="2" customFormat="false" ht="15" hidden="false" customHeight="false" outlineLevel="0" collapsed="false">
      <c r="A2" s="30" t="s">
        <v>43</v>
      </c>
      <c r="B2" s="30" t="s">
        <v>44</v>
      </c>
      <c r="C2" s="30" t="n">
        <v>38</v>
      </c>
      <c r="D2" s="30" t="n">
        <v>181</v>
      </c>
      <c r="E2" s="31" t="n">
        <f aca="false">IF(Ayarlar!$B$4="Aylık",D2/30,C2/7)</f>
        <v>5.42857142857143</v>
      </c>
    </row>
    <row r="3" customFormat="false" ht="15" hidden="false" customHeight="false" outlineLevel="0" collapsed="false">
      <c r="A3" s="30" t="s">
        <v>46</v>
      </c>
      <c r="B3" s="30" t="s">
        <v>47</v>
      </c>
      <c r="C3" s="30" t="n">
        <v>64</v>
      </c>
      <c r="D3" s="30" t="n">
        <v>309</v>
      </c>
      <c r="E3" s="31" t="n">
        <f aca="false">IF(Ayarlar!$B$4="Aylık",D3/30,C3/7)</f>
        <v>9.14285714285714</v>
      </c>
    </row>
    <row r="4" customFormat="false" ht="15" hidden="false" customHeight="false" outlineLevel="0" collapsed="false">
      <c r="A4" s="30" t="s">
        <v>48</v>
      </c>
      <c r="B4" s="30" t="s">
        <v>49</v>
      </c>
      <c r="C4" s="30" t="n">
        <v>39</v>
      </c>
      <c r="D4" s="30" t="n">
        <v>165</v>
      </c>
      <c r="E4" s="31" t="n">
        <f aca="false">IF(Ayarlar!$B$4="Aylık",D4/30,C4/7)</f>
        <v>5.57142857142857</v>
      </c>
    </row>
    <row r="5" customFormat="false" ht="15" hidden="false" customHeight="false" outlineLevel="0" collapsed="false">
      <c r="A5" s="30" t="s">
        <v>50</v>
      </c>
      <c r="B5" s="30" t="s">
        <v>51</v>
      </c>
      <c r="C5" s="30" t="n">
        <v>64</v>
      </c>
      <c r="D5" s="30" t="n">
        <v>281</v>
      </c>
      <c r="E5" s="31" t="n">
        <f aca="false">IF(Ayarlar!$B$4="Aylık",D5/30,C5/7)</f>
        <v>9.14285714285714</v>
      </c>
    </row>
    <row r="6" customFormat="false" ht="15" hidden="false" customHeight="false" outlineLevel="0" collapsed="false">
      <c r="A6" s="30" t="s">
        <v>52</v>
      </c>
      <c r="B6" s="30" t="s">
        <v>53</v>
      </c>
      <c r="C6" s="30" t="n">
        <v>21</v>
      </c>
      <c r="D6" s="30" t="n">
        <v>98</v>
      </c>
      <c r="E6" s="31" t="n">
        <f aca="false">IF(Ayarlar!$B$4="Aylık",D6/30,C6/7)</f>
        <v>3</v>
      </c>
    </row>
    <row r="7" customFormat="false" ht="15" hidden="false" customHeight="false" outlineLevel="0" collapsed="false">
      <c r="A7" s="30" t="s">
        <v>55</v>
      </c>
      <c r="B7" s="30" t="s">
        <v>56</v>
      </c>
      <c r="C7" s="30" t="n">
        <v>40</v>
      </c>
      <c r="D7" s="30" t="n">
        <v>178</v>
      </c>
      <c r="E7" s="31" t="n">
        <f aca="false">IF(Ayarlar!$B$4="Aylık",D7/30,C7/7)</f>
        <v>5.71428571428571</v>
      </c>
    </row>
    <row r="8" customFormat="false" ht="15" hidden="false" customHeight="false" outlineLevel="0" collapsed="false">
      <c r="A8" s="30" t="s">
        <v>57</v>
      </c>
      <c r="B8" s="30" t="s">
        <v>58</v>
      </c>
      <c r="C8" s="30" t="n">
        <v>60</v>
      </c>
      <c r="D8" s="30" t="n">
        <v>233</v>
      </c>
      <c r="E8" s="31" t="n">
        <f aca="false">IF(Ayarlar!$B$4="Aylık",D8/30,C8/7)</f>
        <v>8.57142857142857</v>
      </c>
    </row>
    <row r="9" customFormat="false" ht="15" hidden="false" customHeight="false" outlineLevel="0" collapsed="false">
      <c r="A9" s="30" t="s">
        <v>59</v>
      </c>
      <c r="B9" s="30" t="s">
        <v>60</v>
      </c>
      <c r="C9" s="30" t="n">
        <v>38</v>
      </c>
      <c r="D9" s="30" t="n">
        <v>153</v>
      </c>
      <c r="E9" s="31" t="n">
        <f aca="false">IF(Ayarlar!$B$4="Aylık",D9/30,C9/7)</f>
        <v>5.42857142857143</v>
      </c>
    </row>
    <row r="10" customFormat="false" ht="15" hidden="false" customHeight="false" outlineLevel="0" collapsed="false">
      <c r="A10" s="30" t="s">
        <v>61</v>
      </c>
      <c r="B10" s="30" t="s">
        <v>62</v>
      </c>
      <c r="C10" s="30" t="n">
        <v>15</v>
      </c>
      <c r="D10" s="30" t="n">
        <v>65</v>
      </c>
      <c r="E10" s="31" t="n">
        <f aca="false">IF(Ayarlar!$B$4="Aylık",D10/30,C10/7)</f>
        <v>2.14285714285714</v>
      </c>
    </row>
    <row r="11" customFormat="false" ht="15" hidden="false" customHeight="false" outlineLevel="0" collapsed="false">
      <c r="A11" s="30" t="s">
        <v>64</v>
      </c>
      <c r="B11" s="30" t="s">
        <v>65</v>
      </c>
      <c r="C11" s="30" t="n">
        <v>66</v>
      </c>
      <c r="D11" s="30" t="n">
        <v>299</v>
      </c>
      <c r="E11" s="31" t="n">
        <f aca="false">IF(Ayarlar!$B$4="Aylık",D11/30,C11/7)</f>
        <v>9.42857142857143</v>
      </c>
    </row>
    <row r="12" customFormat="false" ht="15" hidden="false" customHeight="false" outlineLevel="0" collapsed="false">
      <c r="A12" s="30" t="s">
        <v>66</v>
      </c>
      <c r="B12" s="30" t="s">
        <v>67</v>
      </c>
      <c r="C12" s="30" t="n">
        <v>12</v>
      </c>
      <c r="D12" s="30" t="n">
        <v>53</v>
      </c>
      <c r="E12" s="31" t="n">
        <f aca="false">IF(Ayarlar!$B$4="Aylık",D12/30,C12/7)</f>
        <v>1.71428571428571</v>
      </c>
    </row>
    <row r="13" customFormat="false" ht="15" hidden="false" customHeight="false" outlineLevel="0" collapsed="false">
      <c r="A13" s="30" t="s">
        <v>68</v>
      </c>
      <c r="B13" s="30" t="s">
        <v>69</v>
      </c>
      <c r="C13" s="30" t="n">
        <v>35</v>
      </c>
      <c r="D13" s="30" t="n">
        <v>171</v>
      </c>
      <c r="E13" s="31" t="n">
        <f aca="false">IF(Ayarlar!$B$4="Aylık",D13/30,C13/7)</f>
        <v>5</v>
      </c>
    </row>
    <row r="14" customFormat="false" ht="15" hidden="false" customHeight="false" outlineLevel="0" collapsed="false">
      <c r="A14" s="30" t="s">
        <v>71</v>
      </c>
      <c r="B14" s="30" t="s">
        <v>72</v>
      </c>
      <c r="C14" s="30" t="n">
        <v>51</v>
      </c>
      <c r="D14" s="30" t="n">
        <v>234</v>
      </c>
      <c r="E14" s="31" t="n">
        <f aca="false">IF(Ayarlar!$B$4="Aylık",D14/30,C14/7)</f>
        <v>7.28571428571429</v>
      </c>
    </row>
    <row r="15" customFormat="false" ht="15" hidden="false" customHeight="false" outlineLevel="0" collapsed="false">
      <c r="A15" s="30" t="s">
        <v>73</v>
      </c>
      <c r="B15" s="30" t="s">
        <v>74</v>
      </c>
      <c r="C15" s="30" t="n">
        <v>51</v>
      </c>
      <c r="D15" s="30" t="n">
        <v>196</v>
      </c>
      <c r="E15" s="31" t="n">
        <f aca="false">IF(Ayarlar!$B$4="Aylık",D15/30,C15/7)</f>
        <v>7.28571428571429</v>
      </c>
    </row>
    <row r="16" customFormat="false" ht="15" hidden="false" customHeight="false" outlineLevel="0" collapsed="false">
      <c r="A16" s="30" t="s">
        <v>75</v>
      </c>
      <c r="B16" s="30" t="s">
        <v>76</v>
      </c>
      <c r="C16" s="30" t="n">
        <v>10</v>
      </c>
      <c r="D16" s="30" t="n">
        <v>47</v>
      </c>
      <c r="E16" s="31" t="n">
        <f aca="false">IF(Ayarlar!$B$4="Aylık",D16/30,C16/7)</f>
        <v>1.42857142857143</v>
      </c>
    </row>
    <row r="17" customFormat="false" ht="15" hidden="false" customHeight="false" outlineLevel="0" collapsed="false">
      <c r="A17" s="30" t="s">
        <v>78</v>
      </c>
      <c r="B17" s="30" t="s">
        <v>79</v>
      </c>
      <c r="C17" s="30" t="n">
        <v>14</v>
      </c>
      <c r="D17" s="30" t="n">
        <v>52</v>
      </c>
      <c r="E17" s="31" t="n">
        <f aca="false">IF(Ayarlar!$B$4="Aylık",D17/30,C17/7)</f>
        <v>2</v>
      </c>
    </row>
    <row r="18" customFormat="false" ht="15" hidden="false" customHeight="false" outlineLevel="0" collapsed="false">
      <c r="A18" s="30" t="s">
        <v>80</v>
      </c>
      <c r="B18" s="30" t="s">
        <v>81</v>
      </c>
      <c r="C18" s="30" t="n">
        <v>22</v>
      </c>
      <c r="D18" s="30" t="n">
        <v>105</v>
      </c>
      <c r="E18" s="31" t="n">
        <f aca="false">IF(Ayarlar!$B$4="Aylık",D18/30,C18/7)</f>
        <v>3.14285714285714</v>
      </c>
    </row>
    <row r="19" customFormat="false" ht="15" hidden="false" customHeight="false" outlineLevel="0" collapsed="false">
      <c r="A19" s="6"/>
      <c r="B19" s="6"/>
      <c r="C19" s="6"/>
      <c r="D19" s="6"/>
      <c r="E19" s="6"/>
    </row>
    <row r="20" customFormat="false" ht="15" hidden="false" customHeight="false" outlineLevel="0" collapsed="false">
      <c r="A20" s="2" t="s">
        <v>112</v>
      </c>
      <c r="B20" s="6"/>
      <c r="C20" s="6"/>
      <c r="D20" s="6"/>
      <c r="E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12" min="3" style="0" width="10"/>
  </cols>
  <sheetData>
    <row r="1" customFormat="false" ht="15" hidden="false" customHeight="false" outlineLevel="0" collapsed="false">
      <c r="A1" s="4" t="s">
        <v>20</v>
      </c>
      <c r="B1" s="5" t="str">
        <f aca="false">Ayarlar!B3</f>
        <v>Örnek Mağaza</v>
      </c>
      <c r="C1" s="6"/>
      <c r="D1" s="6"/>
      <c r="E1" s="4" t="s">
        <v>113</v>
      </c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31.5" hidden="false" customHeight="true" outlineLevel="0" collapsed="false">
      <c r="A3" s="10" t="s">
        <v>25</v>
      </c>
      <c r="B3" s="10" t="s">
        <v>26</v>
      </c>
      <c r="C3" s="10" t="s">
        <v>29</v>
      </c>
      <c r="D3" s="10" t="s">
        <v>30</v>
      </c>
      <c r="E3" s="10" t="s">
        <v>31</v>
      </c>
      <c r="F3" s="10" t="s">
        <v>114</v>
      </c>
      <c r="G3" s="10" t="s">
        <v>36</v>
      </c>
      <c r="H3" s="10" t="s">
        <v>37</v>
      </c>
      <c r="I3" s="10" t="s">
        <v>39</v>
      </c>
      <c r="J3" s="10" t="s">
        <v>40</v>
      </c>
      <c r="K3" s="10" t="s">
        <v>115</v>
      </c>
      <c r="L3" s="10" t="s">
        <v>116</v>
      </c>
    </row>
    <row r="4" customFormat="false" ht="19.5" hidden="false" customHeight="true" outlineLevel="0" collapsed="false">
      <c r="A4" s="14"/>
      <c r="B4" s="13" t="str">
        <f aca="false">Markout!A4</f>
        <v>KAHVALTILIK</v>
      </c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19.5" hidden="false" customHeight="true" outlineLevel="0" collapsed="false">
      <c r="A5" s="18" t="str">
        <f aca="false">Markout!B5</f>
        <v>100101</v>
      </c>
      <c r="B5" s="18" t="str">
        <f aca="false">Markout!C5</f>
        <v>Peynirli simit</v>
      </c>
      <c r="C5" s="18"/>
      <c r="D5" s="18"/>
      <c r="E5" s="18"/>
      <c r="F5" s="18"/>
      <c r="G5" s="18"/>
      <c r="H5" s="18"/>
      <c r="I5" s="18"/>
      <c r="J5" s="18"/>
      <c r="K5" s="18"/>
      <c r="L5" s="18"/>
    </row>
    <row r="6" customFormat="false" ht="19.5" hidden="false" customHeight="true" outlineLevel="0" collapsed="false">
      <c r="A6" s="18" t="str">
        <f aca="false">Markout!B6</f>
        <v>100102</v>
      </c>
      <c r="B6" s="18" t="str">
        <f aca="false">Markout!C6</f>
        <v>Peynirli poğaça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19.5" hidden="false" customHeight="true" outlineLevel="0" collapsed="false">
      <c r="A7" s="18" t="str">
        <f aca="false">Markout!B7</f>
        <v>100103</v>
      </c>
      <c r="B7" s="18" t="str">
        <f aca="false">Markout!C7</f>
        <v>Zeytinli açma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8" customFormat="false" ht="19.5" hidden="false" customHeight="true" outlineLevel="0" collapsed="false">
      <c r="A8" s="18" t="str">
        <f aca="false">Markout!B8</f>
        <v>100104</v>
      </c>
      <c r="B8" s="18" t="str">
        <f aca="false">Markout!C8</f>
        <v>Sade kruvasan</v>
      </c>
      <c r="C8" s="18"/>
      <c r="D8" s="18"/>
      <c r="E8" s="18"/>
      <c r="F8" s="18"/>
      <c r="G8" s="18"/>
      <c r="H8" s="18"/>
      <c r="I8" s="18"/>
      <c r="J8" s="18"/>
      <c r="K8" s="18"/>
      <c r="L8" s="18"/>
    </row>
    <row r="9" customFormat="false" ht="19.5" hidden="false" customHeight="true" outlineLevel="0" collapsed="false">
      <c r="A9" s="18" t="str">
        <f aca="false">Markout!B9</f>
        <v>100105</v>
      </c>
      <c r="B9" s="18" t="str">
        <f aca="false">Markout!C9</f>
        <v>Çikolatalı kruvasan</v>
      </c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9.5" hidden="false" customHeight="true" outlineLevel="0" collapsed="false">
      <c r="A10" s="14"/>
      <c r="B10" s="13" t="str">
        <f aca="false">Markout!A10</f>
        <v>MUFFIN VE KURABİYE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9.5" hidden="false" customHeight="true" outlineLevel="0" collapsed="false">
      <c r="A11" s="18" t="str">
        <f aca="false">Markout!B11</f>
        <v>100201</v>
      </c>
      <c r="B11" s="18" t="str">
        <f aca="false">Markout!C11</f>
        <v>Yaban mersinli muffin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customFormat="false" ht="19.5" hidden="false" customHeight="true" outlineLevel="0" collapsed="false">
      <c r="A12" s="18" t="str">
        <f aca="false">Markout!B12</f>
        <v>100202</v>
      </c>
      <c r="B12" s="18" t="str">
        <f aca="false">Markout!C12</f>
        <v>Çikolatalı muffin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customFormat="false" ht="19.5" hidden="false" customHeight="true" outlineLevel="0" collapsed="false">
      <c r="A13" s="18" t="str">
        <f aca="false">Markout!B13</f>
        <v>100203</v>
      </c>
      <c r="B13" s="18" t="str">
        <f aca="false">Markout!C13</f>
        <v>Çikolatalı kurabiye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customFormat="false" ht="19.5" hidden="false" customHeight="true" outlineLevel="0" collapsed="false">
      <c r="A14" s="18" t="str">
        <f aca="false">Markout!B14</f>
        <v>100204</v>
      </c>
      <c r="B14" s="18" t="str">
        <f aca="false">Markout!C14</f>
        <v>Yulaflı kurabiye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customFormat="false" ht="19.5" hidden="false" customHeight="true" outlineLevel="0" collapsed="false">
      <c r="A15" s="14"/>
      <c r="B15" s="13" t="str">
        <f aca="false">Markout!A15</f>
        <v>SANDVİÇ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9.5" hidden="false" customHeight="true" outlineLevel="0" collapsed="false">
      <c r="A16" s="18" t="str">
        <f aca="false">Markout!B16</f>
        <v>100301</v>
      </c>
      <c r="B16" s="18" t="str">
        <f aca="false">Markout!C16</f>
        <v>Kaşarlı tost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customFormat="false" ht="19.5" hidden="false" customHeight="true" outlineLevel="0" collapsed="false">
      <c r="A17" s="18" t="str">
        <f aca="false">Markout!B17</f>
        <v>100302</v>
      </c>
      <c r="B17" s="18" t="str">
        <f aca="false">Markout!C17</f>
        <v>Hindi füme sandviç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customFormat="false" ht="19.5" hidden="false" customHeight="true" outlineLevel="0" collapsed="false">
      <c r="A18" s="18" t="str">
        <f aca="false">Markout!B18</f>
        <v>100303</v>
      </c>
      <c r="B18" s="18" t="str">
        <f aca="false">Markout!C18</f>
        <v>Mozzarellalı sandviç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customFormat="false" ht="19.5" hidden="false" customHeight="true" outlineLevel="0" collapsed="false">
      <c r="A19" s="14"/>
      <c r="B19" s="13" t="str">
        <f aca="false">Markout!A19</f>
        <v>KEK VE PASTA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9.5" hidden="false" customHeight="true" outlineLevel="0" collapsed="false">
      <c r="A20" s="18" t="str">
        <f aca="false">Markout!B20</f>
        <v>100401</v>
      </c>
      <c r="B20" s="18" t="str">
        <f aca="false">Markout!C20</f>
        <v>Havuçlu kek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customFormat="false" ht="19.5" hidden="false" customHeight="true" outlineLevel="0" collapsed="false">
      <c r="A21" s="18" t="str">
        <f aca="false">Markout!B21</f>
        <v>100402</v>
      </c>
      <c r="B21" s="18" t="str">
        <f aca="false">Markout!C21</f>
        <v>Brownie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customFormat="false" ht="19.5" hidden="false" customHeight="true" outlineLevel="0" collapsed="false">
      <c r="A22" s="18" t="str">
        <f aca="false">Markout!B22</f>
        <v>100403</v>
      </c>
      <c r="B22" s="18" t="str">
        <f aca="false">Markout!C22</f>
        <v>Limonlu kek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customFormat="false" ht="19.5" hidden="false" customHeight="true" outlineLevel="0" collapsed="false">
      <c r="A23" s="14"/>
      <c r="B23" s="13" t="str">
        <f aca="false">Markout!A23</f>
        <v>CHEESECAKE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19.5" hidden="false" customHeight="true" outlineLevel="0" collapsed="false">
      <c r="A24" s="18" t="str">
        <f aca="false">Markout!B24</f>
        <v>100501</v>
      </c>
      <c r="B24" s="18" t="str">
        <f aca="false">Markout!C24</f>
        <v>Frambuazlı cheesecake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customFormat="false" ht="19.5" hidden="false" customHeight="true" outlineLevel="0" collapsed="false">
      <c r="A25" s="18" t="str">
        <f aca="false">Markout!B25</f>
        <v>100502</v>
      </c>
      <c r="B25" s="18" t="str">
        <f aca="false">Markout!C25</f>
        <v>Limonlu cheesecake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14" min="4" style="0" width="11"/>
  </cols>
  <sheetData>
    <row r="1" customFormat="false" ht="23.85" hidden="false" customHeight="false" outlineLevel="0" collapsed="false">
      <c r="A1" s="10" t="s">
        <v>117</v>
      </c>
      <c r="B1" s="10" t="s">
        <v>25</v>
      </c>
      <c r="C1" s="10" t="s">
        <v>26</v>
      </c>
      <c r="D1" s="10" t="s">
        <v>118</v>
      </c>
      <c r="E1" s="10" t="s">
        <v>119</v>
      </c>
      <c r="F1" s="10" t="s">
        <v>120</v>
      </c>
      <c r="G1" s="10" t="s">
        <v>31</v>
      </c>
      <c r="H1" s="10" t="s">
        <v>38</v>
      </c>
      <c r="I1" s="10" t="s">
        <v>39</v>
      </c>
      <c r="J1" s="10" t="s">
        <v>40</v>
      </c>
      <c r="K1" s="10" t="s">
        <v>121</v>
      </c>
      <c r="L1" s="10" t="s">
        <v>122</v>
      </c>
      <c r="M1" s="10" t="s">
        <v>123</v>
      </c>
      <c r="N1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2026-09-17T01:25:46Z</dcterms:created>
  <dc:creator>openpyxl</dc:creator>
  <dc:description/>
  <dc:language>en-US</dc:language>
  <cp:lastModifiedBy/>
  <dcterms:modified xsi:type="dcterms:W3CDTF">2026-09-17T01:25:46Z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